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" sheetId="1" r:id="rId5"/>
    <sheet state="visible" name="Garrafones" sheetId="2" r:id="rId6"/>
    <sheet state="visible" name="Retornables " sheetId="3" r:id="rId7"/>
    <sheet state="visible" name="No retornables 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tc={c5fbc590-5d46-4595-a880-7573645a271d}</author>
  </authors>
  <commentList>
    <comment authorId="0" xr:uid="{c5fbc590-5d46-4595-a880-7573645a271d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Despues del etiquetado pasa por un tunel de termoencogible para sellar la etiqueta
</t>
      </text>
    </comment>
  </commentList>
</comments>
</file>

<file path=xl/sharedStrings.xml><?xml version="1.0" encoding="utf-8"?>
<sst xmlns="http://schemas.openxmlformats.org/spreadsheetml/2006/main" count="319" uniqueCount="156">
  <si>
    <t xml:space="preserve">Análisis de proceso Monster 330 ml </t>
  </si>
  <si>
    <t>No. Oper.</t>
  </si>
  <si>
    <t>Elemento</t>
  </si>
  <si>
    <t>Cantidad (unidades)</t>
  </si>
  <si>
    <t>Distancia (m)</t>
  </si>
  <si>
    <t>Tiempo (min)</t>
  </si>
  <si>
    <t xml:space="preserve"> ○</t>
  </si>
  <si>
    <t xml:space="preserve"> →</t>
  </si>
  <si>
    <t xml:space="preserve"> D</t>
  </si>
  <si>
    <t xml:space="preserve"> □</t>
  </si>
  <si>
    <t xml:space="preserve"> ▽</t>
  </si>
  <si>
    <t>Observaciones</t>
  </si>
  <si>
    <t>Recepción de latas vacías</t>
  </si>
  <si>
    <t>●</t>
  </si>
  <si>
    <t>Proveedor externo</t>
  </si>
  <si>
    <t>Transporte a sistema de enjuague</t>
  </si>
  <si>
    <t>Movimiento automatizado mediante transportadores de baja presión para evitar deformaciones.</t>
  </si>
  <si>
    <t>Inspección de latas limpias</t>
  </si>
  <si>
    <t>Control visual</t>
  </si>
  <si>
    <t xml:space="preserve">Saneamiento de latas </t>
  </si>
  <si>
    <t>Soplado con aire, limpieza interna mediante Trantech Hysek Rinser o HYAERO Vacuum Rinser, eliminando partículas mediante aire o vacío.</t>
  </si>
  <si>
    <t>Transporte a preparación de bebida</t>
  </si>
  <si>
    <t xml:space="preserve">Tratado de agua </t>
  </si>
  <si>
    <t xml:space="preserve">Creacion Jarabe simple </t>
  </si>
  <si>
    <t xml:space="preserve">Mezcla de agua y azucar </t>
  </si>
  <si>
    <t xml:space="preserve">Mezcla jarabe simple y concentrado </t>
  </si>
  <si>
    <t>Carbonatación (inyección CO₂)</t>
  </si>
  <si>
    <t>Proceso realizado con Krones Carbonator, garantizando niveles óptimos de gasificación bajo presión.</t>
  </si>
  <si>
    <t>Transporte a llenadora</t>
  </si>
  <si>
    <t>Llenado de latas</t>
  </si>
  <si>
    <t>Llenadora KHS can filler Innofill can C-Aprox. 23.200 latas/hora</t>
  </si>
  <si>
    <t>Colocación y sellado de tapa</t>
  </si>
  <si>
    <t>Sellado hermético mediante Krones Modulseam</t>
  </si>
  <si>
    <t>Soplado de agua residual</t>
  </si>
  <si>
    <t>soplado de tapa</t>
  </si>
  <si>
    <t>Inspección de sellado y nivel</t>
  </si>
  <si>
    <t>The FILTEC 3 Photon Fill Level Inspection -tecnología de rayos gamma o rayos X.</t>
  </si>
  <si>
    <t>Transporte a codificación</t>
  </si>
  <si>
    <t>Impresión de fecha y lote</t>
  </si>
  <si>
    <t>Codificación mediante equipo F52Oi</t>
  </si>
  <si>
    <t>Verificación de código impreso</t>
  </si>
  <si>
    <t>Control calidad</t>
  </si>
  <si>
    <t xml:space="preserve">Inspección final de calidad </t>
  </si>
  <si>
    <t xml:space="preserve">Panel triangular - cada hora </t>
  </si>
  <si>
    <t>Transporte a empaque</t>
  </si>
  <si>
    <t xml:space="preserve">Espera para empaque </t>
  </si>
  <si>
    <t>Empaque termoencogible</t>
  </si>
  <si>
    <t>Termoencogible, Empaque en multipacks mediante SMI LSK30T</t>
  </si>
  <si>
    <t>Paletizado</t>
  </si>
  <si>
    <t>Paletizado automático mediante KHS Palletizer</t>
  </si>
  <si>
    <t>Transporte a almacén</t>
  </si>
  <si>
    <t>Montacargas</t>
  </si>
  <si>
    <t>Almacenamiento final</t>
  </si>
  <si>
    <t>Producto terminado</t>
  </si>
  <si>
    <t>TOTAL</t>
  </si>
  <si>
    <t>Desestibado/Ingreso: 25 min.</t>
  </si>
  <si>
    <t>Lavado (Lavadora de 12m): 5 min.</t>
  </si>
  <si>
    <t>Inspección (ACEBI / Inatronic): 10 min.</t>
  </si>
  <si>
    <t>Llenado y Coronación: Parte de los 15 min finales. (etiquetación)</t>
  </si>
  <si>
    <t>Empaquetado 10 minutos.</t>
  </si>
  <si>
    <t>Total</t>
  </si>
  <si>
    <t>Análisis de proceso Garrafones agua brisa 20L</t>
  </si>
  <si>
    <t>○</t>
  </si>
  <si>
    <t>→</t>
  </si>
  <si>
    <t>D</t>
  </si>
  <si>
    <t>□</t>
  </si>
  <si>
    <t>▽</t>
  </si>
  <si>
    <t>Recepción de garrafones vacíos</t>
  </si>
  <si>
    <t>Envases retornables</t>
  </si>
  <si>
    <t>Transporte a inspección inicial</t>
  </si>
  <si>
    <t>Banda transportadora</t>
  </si>
  <si>
    <t>Inspección visual inicial</t>
  </si>
  <si>
    <t>Estado del envase</t>
  </si>
  <si>
    <t xml:space="preserve">Despaletizado </t>
  </si>
  <si>
    <t>Retiro de etiquetas</t>
  </si>
  <si>
    <t>Manual/automático</t>
  </si>
  <si>
    <t>Destapado de garrafones</t>
  </si>
  <si>
    <t>Máquina decapper</t>
  </si>
  <si>
    <t>Lavado externo</t>
  </si>
  <si>
    <t>Lavadora externa</t>
  </si>
  <si>
    <t>Transporte a lavado interno</t>
  </si>
  <si>
    <t>Prelavado interno</t>
  </si>
  <si>
    <t>Agua reciclada</t>
  </si>
  <si>
    <t>Lavado con detergente</t>
  </si>
  <si>
    <t>Remoción suciedad</t>
  </si>
  <si>
    <t>Enjuague interno</t>
  </si>
  <si>
    <t>Agua tratada</t>
  </si>
  <si>
    <t>Desinfección (UV/ozono)</t>
  </si>
  <si>
    <t>Eliminación bacterias</t>
  </si>
  <si>
    <t>Escurrido</t>
  </si>
  <si>
    <t>Eliminación residuos</t>
  </si>
  <si>
    <t>Transporte a llenado</t>
  </si>
  <si>
    <t>Llenado de garrafones (20 L)</t>
  </si>
  <si>
    <t>Máquina llenadora automática</t>
  </si>
  <si>
    <t>Colocación de tapa</t>
  </si>
  <si>
    <t>Sistema automático</t>
  </si>
  <si>
    <t>Sellado</t>
  </si>
  <si>
    <t>Cierre hermético</t>
  </si>
  <si>
    <t>Transporte a etiquetado</t>
  </si>
  <si>
    <t>Etiquetado</t>
  </si>
  <si>
    <t>Información producto</t>
  </si>
  <si>
    <t xml:space="preserve">Tunel de termoencogible </t>
  </si>
  <si>
    <t>Inspección final</t>
  </si>
  <si>
    <t>Transporte a zona de empaque</t>
  </si>
  <si>
    <t>Empaquetado</t>
  </si>
  <si>
    <t>Operario</t>
  </si>
  <si>
    <t>Organización</t>
  </si>
  <si>
    <t>Desestibado/Ingreso: 20 min.</t>
  </si>
  <si>
    <t>Lavado (Lavadora de 12m): 20min.</t>
  </si>
  <si>
    <t>Inspección (ACEBI / Inatronic): 5 min.</t>
  </si>
  <si>
    <t>Empaquetado 15 minutos.</t>
  </si>
  <si>
    <t>Análisis de proceso botellas retornables 350 ml, Línea 2</t>
  </si>
  <si>
    <t>Recepción de botellas usadas</t>
  </si>
  <si>
    <t>Llegan en cajas retornables</t>
  </si>
  <si>
    <t xml:space="preserve">Desencajonado </t>
  </si>
  <si>
    <t>Transporte a área de clasificación</t>
  </si>
  <si>
    <t>Inpeccion de botellas dañadas o sucias</t>
  </si>
  <si>
    <t xml:space="preserve">Se retiran botellas rotas o muy sucias a mano </t>
  </si>
  <si>
    <t>Transporte a lavadora de botellas</t>
  </si>
  <si>
    <t>Lavado de botellas</t>
  </si>
  <si>
    <t>Solución 2-3% soda cáustica a 60°C</t>
  </si>
  <si>
    <t>Enjuague</t>
  </si>
  <si>
    <t>Secado</t>
  </si>
  <si>
    <t>Transporte a línea de llenado</t>
  </si>
  <si>
    <t>Presurización</t>
  </si>
  <si>
    <t>Llenado de botellas</t>
  </si>
  <si>
    <t>Aprox. 50.000 botellas/hora</t>
  </si>
  <si>
    <t>Colocación de tapa corona</t>
  </si>
  <si>
    <t>Inspección de nivel y sellado</t>
  </si>
  <si>
    <t>Codificación de fecha y lote</t>
  </si>
  <si>
    <t>Transporte a área de empaque</t>
  </si>
  <si>
    <t xml:space="preserve">Espera encajonado </t>
  </si>
  <si>
    <t>Encajonado</t>
  </si>
  <si>
    <t>Almacenamiento producto terminado</t>
  </si>
  <si>
    <t>Lavado (Lavadora de 12m): 35 min.</t>
  </si>
  <si>
    <t>Inspección (ACEBI / Inatronic): 15 min.</t>
  </si>
  <si>
    <t>Llenado y Coronación: Parte de los 20 min finales. (etiquetación)</t>
  </si>
  <si>
    <t xml:space="preserve">Total </t>
  </si>
  <si>
    <t>Análisis de proceso botellas no retornables 1.5 L Quatro  (Plástico PET)</t>
  </si>
  <si>
    <t>Recepción de preformas PET</t>
  </si>
  <si>
    <t>Transporte a sopladora</t>
  </si>
  <si>
    <t>Soplado de botellas PET</t>
  </si>
  <si>
    <t>Formado de botella</t>
  </si>
  <si>
    <t>Transporte a enjuague</t>
  </si>
  <si>
    <t>Enjuague con agua estéril</t>
  </si>
  <si>
    <t>Secado con aire estéril</t>
  </si>
  <si>
    <t>Inspección de botellas formadas</t>
  </si>
  <si>
    <t>Aprox. 20.000 botellas/hora</t>
  </si>
  <si>
    <t>Colocación de tapa plástica</t>
  </si>
  <si>
    <t>Colocación de etiqueta</t>
  </si>
  <si>
    <t>Inspección de etiquetado</t>
  </si>
  <si>
    <t>Empaque en packs o cajas</t>
  </si>
  <si>
    <t>Lavado/Saneamiento (Lavadora de 12m): 15 min.</t>
  </si>
  <si>
    <t>Inspección (ACEBI / Inatronic): 20 min.</t>
  </si>
  <si>
    <t>Llenado y Coronación: Parte de los 35 min finales. (etiquetación)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</si>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</sst>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0.0"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ptos Narrow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shrinkToFit="0" wrapText="1"/>
    </xf>
    <xf borderId="4" fillId="0" fontId="4" numFmtId="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shrinkToFit="0" vertical="bottom" wrapText="1"/>
    </xf>
    <xf borderId="4" fillId="0" fontId="7" numFmtId="4" xfId="0" applyAlignment="1" applyBorder="1" applyFont="1" applyNumberFormat="1">
      <alignment horizontal="center" readingOrder="0" shrinkToFit="0" wrapText="1"/>
    </xf>
    <xf borderId="4" fillId="0" fontId="7" numFmtId="0" xfId="0" applyBorder="1" applyFont="1"/>
    <xf borderId="4" fillId="0" fontId="7" numFmtId="0" xfId="0" applyBorder="1" applyFont="1"/>
    <xf borderId="4" fillId="0" fontId="7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readingOrder="0"/>
    </xf>
    <xf borderId="4" fillId="0" fontId="4" numFmtId="0" xfId="0" applyBorder="1" applyFont="1"/>
    <xf borderId="4" fillId="0" fontId="9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8" numFmtId="0" xfId="0" applyAlignment="1" applyBorder="1" applyFont="1">
      <alignment horizontal="right" readingOrder="0" vertical="bottom"/>
    </xf>
    <xf borderId="1" fillId="0" fontId="10" numFmtId="0" xfId="0" applyAlignment="1" applyBorder="1" applyFont="1">
      <alignment readingOrder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horizontal="center" readingOrder="0" shrinkToFit="0" wrapText="1"/>
    </xf>
    <xf borderId="4" fillId="0" fontId="5" numFmtId="4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iadna Contreras Nossa" id="{881e9ec8-fa83-4d2c-a96f-6d43d9450df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1" dT="2026-03-22T00:45:18.00" personId="{881e9ec8-fa83-4d2c-a96f-6d43d9450df0}" id="{c5fbc590-5d46-4595-a880-7573645a271d}" done="1">
    <x18tc:text xml:space="preserve">Despues del etiquetado pasa por un tunel de termoencogible para sellar la etiqueta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3" max="3" width="22.25"/>
    <col customWidth="1" min="5" max="5" width="11.75"/>
    <col customWidth="1" min="6" max="7" width="3.75"/>
    <col customWidth="1" min="8" max="8" width="3.0"/>
    <col customWidth="1" min="9" max="9" width="3.25"/>
    <col customWidth="1" min="10" max="10" width="4.0"/>
    <col customWidth="1" min="11" max="11" width="62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>
      <c r="A3" s="5">
        <v>1.0</v>
      </c>
      <c r="B3" s="6" t="s">
        <v>12</v>
      </c>
      <c r="C3" s="5">
        <v>15000.0</v>
      </c>
      <c r="D3" s="7">
        <v>0.0</v>
      </c>
      <c r="E3" s="8">
        <v>5.0</v>
      </c>
      <c r="G3" s="9"/>
      <c r="H3" s="9"/>
      <c r="I3" s="9"/>
      <c r="J3" s="10" t="s">
        <v>13</v>
      </c>
      <c r="K3" s="6" t="s">
        <v>14</v>
      </c>
    </row>
    <row r="4">
      <c r="A4" s="5">
        <f t="shared" ref="A4:A26" si="1">A3+1</f>
        <v>2</v>
      </c>
      <c r="B4" s="6" t="s">
        <v>15</v>
      </c>
      <c r="C4" s="5">
        <f>C3</f>
        <v>15000</v>
      </c>
      <c r="D4" s="7">
        <v>6.0</v>
      </c>
      <c r="E4" s="8">
        <v>1.5</v>
      </c>
      <c r="F4" s="11"/>
      <c r="G4" s="10" t="s">
        <v>13</v>
      </c>
      <c r="H4" s="11"/>
      <c r="I4" s="11"/>
      <c r="J4" s="11"/>
      <c r="K4" s="6" t="s">
        <v>16</v>
      </c>
    </row>
    <row r="5">
      <c r="A5" s="5">
        <f t="shared" si="1"/>
        <v>3</v>
      </c>
      <c r="B5" s="12" t="s">
        <v>17</v>
      </c>
      <c r="C5" s="5">
        <f>C3</f>
        <v>15000</v>
      </c>
      <c r="D5" s="13">
        <v>0.0</v>
      </c>
      <c r="E5" s="14">
        <v>2.0</v>
      </c>
      <c r="F5" s="15"/>
      <c r="G5" s="16"/>
      <c r="H5" s="16"/>
      <c r="I5" s="17" t="s">
        <v>13</v>
      </c>
      <c r="J5" s="16"/>
      <c r="K5" s="12" t="s">
        <v>18</v>
      </c>
    </row>
    <row r="6">
      <c r="A6" s="5">
        <f t="shared" si="1"/>
        <v>4</v>
      </c>
      <c r="B6" s="6" t="s">
        <v>19</v>
      </c>
      <c r="C6" s="5">
        <f>C3</f>
        <v>15000</v>
      </c>
      <c r="D6" s="7">
        <v>0.0</v>
      </c>
      <c r="E6" s="8">
        <v>3.5</v>
      </c>
      <c r="F6" s="10" t="s">
        <v>13</v>
      </c>
      <c r="G6" s="11"/>
      <c r="H6" s="11"/>
      <c r="I6" s="11"/>
      <c r="J6" s="11"/>
      <c r="K6" s="6" t="s">
        <v>20</v>
      </c>
    </row>
    <row r="7">
      <c r="A7" s="5">
        <f t="shared" si="1"/>
        <v>5</v>
      </c>
      <c r="B7" s="6" t="s">
        <v>21</v>
      </c>
      <c r="C7" s="5">
        <f>C3</f>
        <v>15000</v>
      </c>
      <c r="D7" s="7">
        <v>8.0</v>
      </c>
      <c r="E7" s="8">
        <v>1.6</v>
      </c>
      <c r="F7" s="11"/>
      <c r="G7" s="10" t="s">
        <v>13</v>
      </c>
      <c r="H7" s="11"/>
      <c r="I7" s="11"/>
      <c r="J7" s="11"/>
      <c r="K7" s="18"/>
    </row>
    <row r="8">
      <c r="A8" s="5">
        <f t="shared" si="1"/>
        <v>6</v>
      </c>
      <c r="B8" s="6" t="s">
        <v>22</v>
      </c>
      <c r="C8" s="5">
        <f>C3</f>
        <v>15000</v>
      </c>
      <c r="D8" s="19">
        <v>0.0</v>
      </c>
      <c r="E8" s="8">
        <v>4.6</v>
      </c>
      <c r="F8" s="10" t="s">
        <v>13</v>
      </c>
      <c r="G8" s="11"/>
      <c r="H8" s="11"/>
      <c r="I8" s="11"/>
      <c r="J8" s="11"/>
      <c r="K8" s="18"/>
    </row>
    <row r="9">
      <c r="A9" s="5">
        <f t="shared" si="1"/>
        <v>7</v>
      </c>
      <c r="B9" s="6" t="s">
        <v>23</v>
      </c>
      <c r="C9" s="5">
        <f>C3</f>
        <v>15000</v>
      </c>
      <c r="D9" s="19">
        <v>0.0</v>
      </c>
      <c r="E9" s="8">
        <v>4.6</v>
      </c>
      <c r="F9" s="10" t="s">
        <v>13</v>
      </c>
      <c r="G9" s="11"/>
      <c r="H9" s="11"/>
      <c r="I9" s="11"/>
      <c r="J9" s="11"/>
      <c r="K9" s="6" t="s">
        <v>24</v>
      </c>
    </row>
    <row r="10">
      <c r="A10" s="5">
        <f t="shared" si="1"/>
        <v>8</v>
      </c>
      <c r="B10" s="6" t="s">
        <v>25</v>
      </c>
      <c r="C10" s="5">
        <f>C3</f>
        <v>15000</v>
      </c>
      <c r="D10" s="7">
        <v>0.0</v>
      </c>
      <c r="E10" s="8">
        <v>4.6</v>
      </c>
      <c r="F10" s="10" t="s">
        <v>13</v>
      </c>
      <c r="G10" s="11"/>
      <c r="H10" s="11"/>
      <c r="I10" s="11"/>
      <c r="J10" s="11"/>
      <c r="K10" s="18"/>
    </row>
    <row r="11">
      <c r="A11" s="5">
        <f t="shared" si="1"/>
        <v>9</v>
      </c>
      <c r="B11" s="6" t="s">
        <v>26</v>
      </c>
      <c r="C11" s="5">
        <f>C3</f>
        <v>15000</v>
      </c>
      <c r="D11" s="19">
        <v>0.0</v>
      </c>
      <c r="E11" s="8">
        <v>4.6</v>
      </c>
      <c r="F11" s="10" t="s">
        <v>13</v>
      </c>
      <c r="G11" s="11"/>
      <c r="H11" s="11"/>
      <c r="I11" s="11"/>
      <c r="J11" s="11"/>
      <c r="K11" s="6" t="s">
        <v>27</v>
      </c>
    </row>
    <row r="12">
      <c r="A12" s="5">
        <f t="shared" si="1"/>
        <v>10</v>
      </c>
      <c r="B12" s="6" t="s">
        <v>28</v>
      </c>
      <c r="C12" s="5">
        <f>C3</f>
        <v>15000</v>
      </c>
      <c r="D12" s="19">
        <v>4.0</v>
      </c>
      <c r="E12" s="8">
        <v>1.0</v>
      </c>
      <c r="F12" s="11"/>
      <c r="G12" s="10" t="s">
        <v>13</v>
      </c>
      <c r="H12" s="11"/>
      <c r="I12" s="11"/>
      <c r="J12" s="11"/>
      <c r="K12" s="18"/>
    </row>
    <row r="13">
      <c r="A13" s="5">
        <f t="shared" si="1"/>
        <v>11</v>
      </c>
      <c r="B13" s="6" t="s">
        <v>29</v>
      </c>
      <c r="C13" s="5">
        <f>C3</f>
        <v>15000</v>
      </c>
      <c r="D13" s="7">
        <v>0.0</v>
      </c>
      <c r="E13" s="8">
        <v>3.5</v>
      </c>
      <c r="F13" s="10" t="s">
        <v>13</v>
      </c>
      <c r="G13" s="11"/>
      <c r="H13" s="11"/>
      <c r="I13" s="11"/>
      <c r="J13" s="11"/>
      <c r="K13" s="6" t="s">
        <v>30</v>
      </c>
    </row>
    <row r="14">
      <c r="A14" s="5">
        <f t="shared" si="1"/>
        <v>12</v>
      </c>
      <c r="B14" s="6" t="s">
        <v>31</v>
      </c>
      <c r="C14" s="5">
        <f>C3</f>
        <v>15000</v>
      </c>
      <c r="D14" s="7">
        <v>0.0</v>
      </c>
      <c r="E14" s="8">
        <v>2.7</v>
      </c>
      <c r="F14" s="10" t="s">
        <v>13</v>
      </c>
      <c r="G14" s="11"/>
      <c r="H14" s="11"/>
      <c r="I14" s="11"/>
      <c r="J14" s="11"/>
      <c r="K14" s="6" t="s">
        <v>32</v>
      </c>
    </row>
    <row r="15">
      <c r="A15" s="5">
        <f t="shared" si="1"/>
        <v>13</v>
      </c>
      <c r="B15" s="6" t="s">
        <v>33</v>
      </c>
      <c r="C15" s="5">
        <f>C3</f>
        <v>15000</v>
      </c>
      <c r="D15" s="19">
        <v>0.0</v>
      </c>
      <c r="E15" s="8">
        <v>2.7</v>
      </c>
      <c r="F15" s="10" t="s">
        <v>13</v>
      </c>
      <c r="G15" s="11"/>
      <c r="H15" s="11"/>
      <c r="I15" s="11"/>
      <c r="J15" s="11"/>
      <c r="K15" s="6" t="s">
        <v>34</v>
      </c>
    </row>
    <row r="16">
      <c r="A16" s="5">
        <f t="shared" si="1"/>
        <v>14</v>
      </c>
      <c r="B16" s="6" t="s">
        <v>35</v>
      </c>
      <c r="C16" s="5">
        <f>C3</f>
        <v>15000</v>
      </c>
      <c r="D16" s="7">
        <v>0.0</v>
      </c>
      <c r="E16" s="8">
        <v>2.0</v>
      </c>
      <c r="F16" s="11"/>
      <c r="G16" s="11"/>
      <c r="H16" s="11"/>
      <c r="I16" s="10" t="s">
        <v>13</v>
      </c>
      <c r="J16" s="11"/>
      <c r="K16" s="6" t="s">
        <v>36</v>
      </c>
    </row>
    <row r="17">
      <c r="A17" s="5">
        <f t="shared" si="1"/>
        <v>15</v>
      </c>
      <c r="B17" s="6" t="s">
        <v>37</v>
      </c>
      <c r="C17" s="5">
        <f>C3</f>
        <v>15000</v>
      </c>
      <c r="D17" s="7">
        <v>10.0</v>
      </c>
      <c r="E17" s="8">
        <v>2.6</v>
      </c>
      <c r="F17" s="11"/>
      <c r="G17" s="10" t="s">
        <v>13</v>
      </c>
      <c r="H17" s="11"/>
      <c r="I17" s="11"/>
      <c r="J17" s="11"/>
      <c r="K17" s="18"/>
    </row>
    <row r="18">
      <c r="A18" s="5">
        <f t="shared" si="1"/>
        <v>16</v>
      </c>
      <c r="B18" s="6" t="s">
        <v>38</v>
      </c>
      <c r="C18" s="5">
        <f>C3</f>
        <v>15000</v>
      </c>
      <c r="D18" s="19">
        <v>0.0</v>
      </c>
      <c r="E18" s="8">
        <v>2.5</v>
      </c>
      <c r="F18" s="10" t="s">
        <v>13</v>
      </c>
      <c r="G18" s="11"/>
      <c r="H18" s="11"/>
      <c r="I18" s="11"/>
      <c r="J18" s="11"/>
      <c r="K18" s="6" t="s">
        <v>39</v>
      </c>
    </row>
    <row r="19">
      <c r="A19" s="5">
        <f t="shared" si="1"/>
        <v>17</v>
      </c>
      <c r="B19" s="6" t="s">
        <v>40</v>
      </c>
      <c r="C19" s="5">
        <f>C3</f>
        <v>15000</v>
      </c>
      <c r="D19" s="7">
        <v>0.0</v>
      </c>
      <c r="E19" s="8">
        <v>3.0</v>
      </c>
      <c r="F19" s="11"/>
      <c r="G19" s="11"/>
      <c r="H19" s="11"/>
      <c r="I19" s="10" t="s">
        <v>13</v>
      </c>
      <c r="J19" s="11"/>
      <c r="K19" s="6" t="s">
        <v>41</v>
      </c>
    </row>
    <row r="20">
      <c r="A20" s="5">
        <f t="shared" si="1"/>
        <v>18</v>
      </c>
      <c r="B20" s="6" t="s">
        <v>42</v>
      </c>
      <c r="C20" s="5">
        <f>C3</f>
        <v>15000</v>
      </c>
      <c r="D20" s="7">
        <v>0.0</v>
      </c>
      <c r="E20" s="8">
        <v>3.0</v>
      </c>
      <c r="F20" s="11"/>
      <c r="G20" s="11"/>
      <c r="H20" s="11"/>
      <c r="I20" s="10" t="s">
        <v>13</v>
      </c>
      <c r="J20" s="11"/>
      <c r="K20" s="6" t="s">
        <v>43</v>
      </c>
    </row>
    <row r="21">
      <c r="A21" s="5">
        <f t="shared" si="1"/>
        <v>19</v>
      </c>
      <c r="B21" s="6" t="s">
        <v>44</v>
      </c>
      <c r="C21" s="5">
        <f>C3</f>
        <v>15000</v>
      </c>
      <c r="D21" s="7">
        <v>8.0</v>
      </c>
      <c r="E21" s="8">
        <v>2.0</v>
      </c>
      <c r="F21" s="11"/>
      <c r="G21" s="10" t="s">
        <v>13</v>
      </c>
      <c r="H21" s="11"/>
      <c r="I21" s="11"/>
      <c r="J21" s="11"/>
      <c r="K21" s="18"/>
    </row>
    <row r="22">
      <c r="A22" s="5">
        <f t="shared" si="1"/>
        <v>20</v>
      </c>
      <c r="B22" s="6" t="s">
        <v>45</v>
      </c>
      <c r="C22" s="5">
        <f>C3</f>
        <v>15000</v>
      </c>
      <c r="D22" s="19">
        <v>0.0</v>
      </c>
      <c r="E22" s="8">
        <v>1.5</v>
      </c>
      <c r="F22" s="10"/>
      <c r="G22" s="11"/>
      <c r="H22" s="10" t="s">
        <v>13</v>
      </c>
      <c r="I22" s="11"/>
      <c r="J22" s="11"/>
      <c r="K22" s="6"/>
    </row>
    <row r="23">
      <c r="A23" s="5">
        <f t="shared" si="1"/>
        <v>21</v>
      </c>
      <c r="B23" s="6" t="s">
        <v>46</v>
      </c>
      <c r="C23" s="5">
        <f>C3</f>
        <v>15000</v>
      </c>
      <c r="D23" s="19">
        <v>0.0</v>
      </c>
      <c r="E23" s="8">
        <v>1.0</v>
      </c>
      <c r="F23" s="10" t="s">
        <v>13</v>
      </c>
      <c r="G23" s="11"/>
      <c r="H23" s="11"/>
      <c r="I23" s="11"/>
      <c r="J23" s="11"/>
      <c r="K23" s="6" t="s">
        <v>47</v>
      </c>
    </row>
    <row r="24">
      <c r="A24" s="5">
        <f t="shared" si="1"/>
        <v>22</v>
      </c>
      <c r="B24" s="6" t="s">
        <v>48</v>
      </c>
      <c r="C24" s="5">
        <f>C3</f>
        <v>15000</v>
      </c>
      <c r="D24" s="7">
        <v>0.0</v>
      </c>
      <c r="E24" s="8">
        <v>1.5</v>
      </c>
      <c r="F24" s="10" t="s">
        <v>13</v>
      </c>
      <c r="G24" s="11"/>
      <c r="H24" s="11"/>
      <c r="I24" s="11"/>
      <c r="J24" s="11"/>
      <c r="K24" s="20" t="s">
        <v>49</v>
      </c>
    </row>
    <row r="25">
      <c r="A25" s="5">
        <f t="shared" si="1"/>
        <v>23</v>
      </c>
      <c r="B25" s="6" t="s">
        <v>50</v>
      </c>
      <c r="C25" s="5">
        <f>C3</f>
        <v>15000</v>
      </c>
      <c r="D25" s="5">
        <v>20.0</v>
      </c>
      <c r="E25" s="8">
        <v>3.0</v>
      </c>
      <c r="F25" s="11"/>
      <c r="G25" s="10" t="s">
        <v>13</v>
      </c>
      <c r="H25" s="11"/>
      <c r="I25" s="11"/>
      <c r="J25" s="11"/>
      <c r="K25" s="6" t="s">
        <v>51</v>
      </c>
    </row>
    <row r="26">
      <c r="A26" s="5">
        <f t="shared" si="1"/>
        <v>24</v>
      </c>
      <c r="B26" s="6" t="s">
        <v>52</v>
      </c>
      <c r="C26" s="5">
        <f>C3</f>
        <v>15000</v>
      </c>
      <c r="D26" s="5">
        <v>0.0</v>
      </c>
      <c r="E26" s="8">
        <v>1.0</v>
      </c>
      <c r="F26" s="11"/>
      <c r="G26" s="11"/>
      <c r="H26" s="11"/>
      <c r="I26" s="11"/>
      <c r="J26" s="10" t="s">
        <v>13</v>
      </c>
      <c r="K26" s="6" t="s">
        <v>53</v>
      </c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>
      <c r="A28" s="21"/>
      <c r="B28" s="22" t="s">
        <v>54</v>
      </c>
      <c r="C28" s="23"/>
      <c r="D28" s="23"/>
      <c r="E28" s="8">
        <f>SUM(E3:E26)</f>
        <v>65</v>
      </c>
      <c r="F28" s="24">
        <v>11.0</v>
      </c>
      <c r="G28" s="24">
        <v>6.0</v>
      </c>
      <c r="H28" s="24">
        <v>1.0</v>
      </c>
      <c r="I28" s="24">
        <v>4.0</v>
      </c>
      <c r="J28" s="24">
        <v>2.0</v>
      </c>
      <c r="K28" s="21"/>
    </row>
    <row r="30">
      <c r="B30" s="25" t="s">
        <v>55</v>
      </c>
      <c r="C30" s="3"/>
      <c r="D30" s="26">
        <f>E3+E7+E8+E9+E10+E11</f>
        <v>25</v>
      </c>
    </row>
    <row r="31">
      <c r="B31" s="25" t="s">
        <v>56</v>
      </c>
      <c r="C31" s="3"/>
      <c r="D31" s="26">
        <f>E4+E6</f>
        <v>5</v>
      </c>
    </row>
    <row r="32">
      <c r="B32" s="25" t="s">
        <v>57</v>
      </c>
      <c r="C32" s="3"/>
      <c r="D32" s="26">
        <f>E5+E16+E19+E20</f>
        <v>10</v>
      </c>
    </row>
    <row r="33">
      <c r="B33" s="25" t="s">
        <v>58</v>
      </c>
      <c r="C33" s="3"/>
      <c r="D33" s="26">
        <f>E12+E13+E14+E15+E17+E18</f>
        <v>15</v>
      </c>
    </row>
    <row r="34">
      <c r="B34" s="25" t="s">
        <v>59</v>
      </c>
      <c r="C34" s="3"/>
      <c r="D34" s="26">
        <f>E21+E22+E23+E24+E25+E26</f>
        <v>10</v>
      </c>
    </row>
    <row r="35">
      <c r="B35" s="27" t="s">
        <v>60</v>
      </c>
      <c r="C35" s="21"/>
      <c r="D35" s="26">
        <f>SUM(D30:D34)</f>
        <v>65</v>
      </c>
    </row>
  </sheetData>
  <mergeCells count="6">
    <mergeCell ref="A1:K1"/>
    <mergeCell ref="B30:C30"/>
    <mergeCell ref="B31:C31"/>
    <mergeCell ref="B32:C32"/>
    <mergeCell ref="B33:C33"/>
    <mergeCell ref="B34:C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3" max="3" width="22.25"/>
    <col customWidth="1" min="5" max="5" width="11.75"/>
    <col customWidth="1" min="6" max="7" width="3.75"/>
    <col customWidth="1" min="8" max="8" width="3.0"/>
    <col customWidth="1" min="9" max="9" width="3.25"/>
    <col customWidth="1" min="10" max="10" width="4.0"/>
    <col customWidth="1" min="11" max="11" width="46.38"/>
  </cols>
  <sheetData>
    <row r="1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11</v>
      </c>
    </row>
    <row r="3">
      <c r="A3" s="5">
        <v>1.0</v>
      </c>
      <c r="B3" s="6" t="s">
        <v>67</v>
      </c>
      <c r="C3" s="5">
        <v>870.0</v>
      </c>
      <c r="D3" s="28">
        <v>0.0</v>
      </c>
      <c r="E3" s="8">
        <v>6.0</v>
      </c>
      <c r="G3" s="9"/>
      <c r="H3" s="9"/>
      <c r="I3" s="9"/>
      <c r="J3" s="29" t="s">
        <v>13</v>
      </c>
      <c r="K3" s="6" t="s">
        <v>68</v>
      </c>
    </row>
    <row r="4">
      <c r="A4" s="5">
        <f t="shared" ref="A4:A28" si="1">A3+1</f>
        <v>2</v>
      </c>
      <c r="B4" s="6" t="s">
        <v>69</v>
      </c>
      <c r="C4" s="5">
        <v>870.0</v>
      </c>
      <c r="D4" s="28">
        <v>5.0</v>
      </c>
      <c r="E4" s="8">
        <v>3.0</v>
      </c>
      <c r="F4" s="11"/>
      <c r="G4" s="29" t="s">
        <v>13</v>
      </c>
      <c r="H4" s="11"/>
      <c r="I4" s="11"/>
      <c r="J4" s="11"/>
      <c r="K4" s="6" t="s">
        <v>70</v>
      </c>
    </row>
    <row r="5">
      <c r="A5" s="5">
        <f t="shared" si="1"/>
        <v>3</v>
      </c>
      <c r="B5" s="30" t="s">
        <v>71</v>
      </c>
      <c r="C5" s="5">
        <v>870.0</v>
      </c>
      <c r="D5" s="31">
        <v>0.0</v>
      </c>
      <c r="E5" s="14">
        <v>3.0</v>
      </c>
      <c r="F5" s="15"/>
      <c r="G5" s="16"/>
      <c r="H5" s="16"/>
      <c r="I5" s="32" t="s">
        <v>13</v>
      </c>
      <c r="J5" s="16"/>
      <c r="K5" s="30" t="s">
        <v>72</v>
      </c>
    </row>
    <row r="6">
      <c r="A6" s="5">
        <f t="shared" si="1"/>
        <v>4</v>
      </c>
      <c r="B6" s="6" t="s">
        <v>73</v>
      </c>
      <c r="C6" s="5">
        <v>870.0</v>
      </c>
      <c r="D6" s="19">
        <v>0.0</v>
      </c>
      <c r="E6" s="8">
        <v>4.0</v>
      </c>
      <c r="F6" s="5" t="s">
        <v>13</v>
      </c>
      <c r="G6" s="11"/>
      <c r="H6" s="11"/>
      <c r="I6" s="11"/>
      <c r="J6" s="11"/>
      <c r="K6" s="6"/>
    </row>
    <row r="7">
      <c r="A7" s="5">
        <f t="shared" si="1"/>
        <v>5</v>
      </c>
      <c r="B7" s="6" t="s">
        <v>74</v>
      </c>
      <c r="C7" s="5">
        <v>870.0</v>
      </c>
      <c r="D7" s="28">
        <v>0.0</v>
      </c>
      <c r="E7" s="8">
        <v>3.2</v>
      </c>
      <c r="F7" s="29" t="s">
        <v>13</v>
      </c>
      <c r="G7" s="11"/>
      <c r="H7" s="11"/>
      <c r="I7" s="11"/>
      <c r="J7" s="11"/>
      <c r="K7" s="6" t="s">
        <v>75</v>
      </c>
    </row>
    <row r="8">
      <c r="A8" s="5">
        <f t="shared" si="1"/>
        <v>6</v>
      </c>
      <c r="B8" s="6" t="s">
        <v>76</v>
      </c>
      <c r="C8" s="5">
        <v>870.0</v>
      </c>
      <c r="D8" s="19">
        <v>0.0</v>
      </c>
      <c r="E8" s="8">
        <v>3.8</v>
      </c>
      <c r="F8" s="29" t="s">
        <v>13</v>
      </c>
      <c r="G8" s="11"/>
      <c r="H8" s="11"/>
      <c r="I8" s="11"/>
      <c r="J8" s="11"/>
      <c r="K8" s="6" t="s">
        <v>77</v>
      </c>
    </row>
    <row r="9">
      <c r="A9" s="5">
        <f t="shared" si="1"/>
        <v>7</v>
      </c>
      <c r="B9" s="6" t="s">
        <v>78</v>
      </c>
      <c r="C9" s="5">
        <v>870.0</v>
      </c>
      <c r="D9" s="19">
        <v>0.0</v>
      </c>
      <c r="E9" s="8">
        <v>4.0</v>
      </c>
      <c r="F9" s="29" t="s">
        <v>13</v>
      </c>
      <c r="G9" s="11"/>
      <c r="H9" s="11"/>
      <c r="I9" s="11"/>
      <c r="J9" s="11"/>
      <c r="K9" s="6" t="s">
        <v>79</v>
      </c>
    </row>
    <row r="10">
      <c r="A10" s="5">
        <f t="shared" si="1"/>
        <v>8</v>
      </c>
      <c r="B10" s="6" t="s">
        <v>80</v>
      </c>
      <c r="C10" s="5">
        <v>870.0</v>
      </c>
      <c r="D10" s="28">
        <v>3.0</v>
      </c>
      <c r="E10" s="8">
        <v>1.0</v>
      </c>
      <c r="F10" s="10"/>
      <c r="G10" s="5" t="s">
        <v>13</v>
      </c>
      <c r="H10" s="11"/>
      <c r="I10" s="11"/>
      <c r="J10" s="11"/>
      <c r="K10" s="18"/>
    </row>
    <row r="11">
      <c r="A11" s="5">
        <f t="shared" si="1"/>
        <v>9</v>
      </c>
      <c r="B11" s="6" t="s">
        <v>81</v>
      </c>
      <c r="C11" s="5">
        <v>870.0</v>
      </c>
      <c r="D11" s="19">
        <v>0.0</v>
      </c>
      <c r="E11" s="8">
        <v>3.0</v>
      </c>
      <c r="F11" s="29" t="s">
        <v>13</v>
      </c>
      <c r="G11" s="11"/>
      <c r="H11" s="11"/>
      <c r="I11" s="11"/>
      <c r="J11" s="11"/>
      <c r="K11" s="6" t="s">
        <v>82</v>
      </c>
    </row>
    <row r="12">
      <c r="A12" s="5">
        <f t="shared" si="1"/>
        <v>10</v>
      </c>
      <c r="B12" s="6" t="s">
        <v>83</v>
      </c>
      <c r="C12" s="5">
        <v>870.0</v>
      </c>
      <c r="D12" s="19">
        <v>0.0</v>
      </c>
      <c r="E12" s="8">
        <v>3.5</v>
      </c>
      <c r="F12" s="5" t="s">
        <v>13</v>
      </c>
      <c r="G12" s="10"/>
      <c r="H12" s="11"/>
      <c r="I12" s="11"/>
      <c r="J12" s="11"/>
      <c r="K12" s="6" t="s">
        <v>84</v>
      </c>
    </row>
    <row r="13">
      <c r="A13" s="5">
        <f t="shared" si="1"/>
        <v>11</v>
      </c>
      <c r="B13" s="6" t="s">
        <v>85</v>
      </c>
      <c r="C13" s="5">
        <v>870.0</v>
      </c>
      <c r="D13" s="28">
        <v>0.0</v>
      </c>
      <c r="E13" s="8">
        <v>3.5</v>
      </c>
      <c r="F13" s="29" t="s">
        <v>13</v>
      </c>
      <c r="G13" s="11"/>
      <c r="H13" s="11"/>
      <c r="I13" s="11"/>
      <c r="J13" s="11"/>
      <c r="K13" s="6" t="s">
        <v>86</v>
      </c>
    </row>
    <row r="14">
      <c r="A14" s="5">
        <f t="shared" si="1"/>
        <v>12</v>
      </c>
      <c r="B14" s="6" t="s">
        <v>87</v>
      </c>
      <c r="C14" s="5">
        <v>870.0</v>
      </c>
      <c r="D14" s="28">
        <v>0.0</v>
      </c>
      <c r="E14" s="8">
        <v>3.0</v>
      </c>
      <c r="F14" s="29" t="s">
        <v>13</v>
      </c>
      <c r="G14" s="11"/>
      <c r="H14" s="11"/>
      <c r="I14" s="11"/>
      <c r="J14" s="11"/>
      <c r="K14" s="6" t="s">
        <v>88</v>
      </c>
    </row>
    <row r="15">
      <c r="A15" s="5">
        <f t="shared" si="1"/>
        <v>13</v>
      </c>
      <c r="B15" s="6" t="s">
        <v>89</v>
      </c>
      <c r="C15" s="5">
        <v>870.0</v>
      </c>
      <c r="D15" s="19">
        <v>0.0</v>
      </c>
      <c r="E15" s="8">
        <v>2.0</v>
      </c>
      <c r="F15" s="29" t="s">
        <v>13</v>
      </c>
      <c r="G15" s="11"/>
      <c r="H15" s="11"/>
      <c r="I15" s="11"/>
      <c r="J15" s="11"/>
      <c r="K15" s="6" t="s">
        <v>90</v>
      </c>
    </row>
    <row r="16">
      <c r="A16" s="5">
        <f t="shared" si="1"/>
        <v>14</v>
      </c>
      <c r="B16" s="6" t="s">
        <v>91</v>
      </c>
      <c r="C16" s="5">
        <v>870.0</v>
      </c>
      <c r="D16" s="28">
        <v>5.0</v>
      </c>
      <c r="E16" s="8">
        <v>1.5</v>
      </c>
      <c r="F16" s="11"/>
      <c r="G16" s="5" t="s">
        <v>13</v>
      </c>
      <c r="H16" s="11"/>
      <c r="I16" s="10"/>
      <c r="J16" s="11"/>
      <c r="K16" s="6"/>
    </row>
    <row r="17">
      <c r="A17" s="5">
        <f t="shared" si="1"/>
        <v>15</v>
      </c>
      <c r="B17" s="6" t="s">
        <v>92</v>
      </c>
      <c r="C17" s="5">
        <v>870.0</v>
      </c>
      <c r="D17" s="28">
        <v>0.0</v>
      </c>
      <c r="E17" s="8">
        <v>3.0</v>
      </c>
      <c r="F17" s="5" t="s">
        <v>13</v>
      </c>
      <c r="G17" s="10"/>
      <c r="H17" s="11"/>
      <c r="I17" s="11"/>
      <c r="J17" s="11"/>
      <c r="K17" s="6" t="s">
        <v>93</v>
      </c>
    </row>
    <row r="18">
      <c r="A18" s="5">
        <f t="shared" si="1"/>
        <v>16</v>
      </c>
      <c r="B18" s="6" t="s">
        <v>94</v>
      </c>
      <c r="C18" s="5">
        <v>870.0</v>
      </c>
      <c r="D18" s="19">
        <v>0.0</v>
      </c>
      <c r="E18" s="8">
        <v>3.3</v>
      </c>
      <c r="F18" s="29" t="s">
        <v>13</v>
      </c>
      <c r="G18" s="11"/>
      <c r="H18" s="11"/>
      <c r="I18" s="11"/>
      <c r="J18" s="11"/>
      <c r="K18" s="6" t="s">
        <v>95</v>
      </c>
    </row>
    <row r="19">
      <c r="A19" s="5">
        <f t="shared" si="1"/>
        <v>17</v>
      </c>
      <c r="B19" s="6" t="s">
        <v>96</v>
      </c>
      <c r="C19" s="5">
        <v>870.0</v>
      </c>
      <c r="D19" s="28">
        <v>0.0</v>
      </c>
      <c r="E19" s="8">
        <v>2.0</v>
      </c>
      <c r="F19" s="5" t="s">
        <v>13</v>
      </c>
      <c r="G19" s="11"/>
      <c r="H19" s="11"/>
      <c r="I19" s="10"/>
      <c r="J19" s="11"/>
      <c r="K19" s="6" t="s">
        <v>97</v>
      </c>
    </row>
    <row r="20">
      <c r="A20" s="5">
        <f t="shared" si="1"/>
        <v>18</v>
      </c>
      <c r="B20" s="6" t="s">
        <v>98</v>
      </c>
      <c r="C20" s="5">
        <v>870.0</v>
      </c>
      <c r="D20" s="19">
        <v>4.0</v>
      </c>
      <c r="E20" s="8">
        <v>1.2</v>
      </c>
      <c r="F20" s="11"/>
      <c r="G20" s="5" t="s">
        <v>13</v>
      </c>
      <c r="H20" s="11"/>
      <c r="I20" s="10"/>
      <c r="J20" s="11"/>
      <c r="K20" s="6"/>
    </row>
    <row r="21">
      <c r="A21" s="5">
        <f t="shared" si="1"/>
        <v>19</v>
      </c>
      <c r="B21" s="6" t="s">
        <v>99</v>
      </c>
      <c r="C21" s="5">
        <v>870.0</v>
      </c>
      <c r="D21" s="28">
        <v>0.0</v>
      </c>
      <c r="E21" s="8">
        <v>2.5</v>
      </c>
      <c r="F21" s="5" t="s">
        <v>13</v>
      </c>
      <c r="G21" s="10"/>
      <c r="H21" s="11"/>
      <c r="I21" s="11"/>
      <c r="J21" s="11"/>
      <c r="K21" s="6" t="s">
        <v>100</v>
      </c>
    </row>
    <row r="22">
      <c r="A22" s="5">
        <f t="shared" si="1"/>
        <v>20</v>
      </c>
      <c r="B22" s="6" t="s">
        <v>101</v>
      </c>
      <c r="C22" s="5">
        <v>870.0</v>
      </c>
      <c r="D22" s="28">
        <v>0.0</v>
      </c>
      <c r="E22" s="8">
        <v>1.5</v>
      </c>
      <c r="F22" s="5" t="s">
        <v>13</v>
      </c>
      <c r="G22" s="10"/>
      <c r="H22" s="11"/>
      <c r="I22" s="11"/>
      <c r="J22" s="11"/>
      <c r="K22" s="6"/>
    </row>
    <row r="23">
      <c r="A23" s="5">
        <f t="shared" si="1"/>
        <v>21</v>
      </c>
      <c r="B23" s="6" t="s">
        <v>102</v>
      </c>
      <c r="C23" s="5">
        <v>870.0</v>
      </c>
      <c r="D23" s="19">
        <v>0.0</v>
      </c>
      <c r="E23" s="8">
        <v>2.0</v>
      </c>
      <c r="F23" s="10"/>
      <c r="G23" s="11"/>
      <c r="H23" s="10"/>
      <c r="I23" s="5" t="s">
        <v>13</v>
      </c>
      <c r="J23" s="11"/>
      <c r="K23" s="6" t="s">
        <v>41</v>
      </c>
    </row>
    <row r="24">
      <c r="A24" s="5">
        <f t="shared" si="1"/>
        <v>22</v>
      </c>
      <c r="B24" s="6" t="s">
        <v>103</v>
      </c>
      <c r="C24" s="5">
        <v>870.0</v>
      </c>
      <c r="D24" s="19">
        <v>6.0</v>
      </c>
      <c r="E24" s="8">
        <v>2.8</v>
      </c>
      <c r="F24" s="10"/>
      <c r="G24" s="5" t="s">
        <v>13</v>
      </c>
      <c r="H24" s="11"/>
      <c r="I24" s="11"/>
      <c r="J24" s="11"/>
      <c r="K24" s="6"/>
    </row>
    <row r="25">
      <c r="A25" s="5">
        <f t="shared" si="1"/>
        <v>23</v>
      </c>
      <c r="B25" s="6" t="s">
        <v>104</v>
      </c>
      <c r="C25" s="5">
        <v>870.0</v>
      </c>
      <c r="D25" s="28">
        <v>0.0</v>
      </c>
      <c r="E25" s="8">
        <v>4.0</v>
      </c>
      <c r="F25" s="29" t="s">
        <v>13</v>
      </c>
      <c r="G25" s="11"/>
      <c r="H25" s="11"/>
      <c r="I25" s="11"/>
      <c r="J25" s="11"/>
      <c r="K25" s="6" t="s">
        <v>105</v>
      </c>
    </row>
    <row r="26">
      <c r="A26" s="5">
        <f t="shared" si="1"/>
        <v>24</v>
      </c>
      <c r="B26" s="6" t="s">
        <v>48</v>
      </c>
      <c r="C26" s="5">
        <v>870.0</v>
      </c>
      <c r="D26" s="5">
        <v>0.0</v>
      </c>
      <c r="E26" s="8">
        <v>3.0</v>
      </c>
      <c r="F26" s="5" t="s">
        <v>13</v>
      </c>
      <c r="G26" s="10"/>
      <c r="H26" s="11"/>
      <c r="I26" s="11"/>
      <c r="J26" s="11"/>
      <c r="K26" s="6" t="s">
        <v>106</v>
      </c>
    </row>
    <row r="27">
      <c r="A27" s="5">
        <f t="shared" si="1"/>
        <v>25</v>
      </c>
      <c r="B27" s="6" t="s">
        <v>50</v>
      </c>
      <c r="C27" s="5">
        <v>870.0</v>
      </c>
      <c r="D27" s="5">
        <v>15.0</v>
      </c>
      <c r="E27" s="8">
        <v>3.2</v>
      </c>
      <c r="F27" s="11"/>
      <c r="G27" s="5" t="s">
        <v>13</v>
      </c>
      <c r="H27" s="11"/>
      <c r="I27" s="11"/>
      <c r="J27" s="10"/>
      <c r="K27" s="6" t="s">
        <v>51</v>
      </c>
    </row>
    <row r="28">
      <c r="A28" s="5">
        <f t="shared" si="1"/>
        <v>26</v>
      </c>
      <c r="B28" s="27" t="s">
        <v>52</v>
      </c>
      <c r="C28" s="5">
        <v>870.0</v>
      </c>
      <c r="D28" s="5">
        <v>0.0</v>
      </c>
      <c r="E28" s="8">
        <v>2.0</v>
      </c>
      <c r="F28" s="21"/>
      <c r="G28" s="21"/>
      <c r="H28" s="21"/>
      <c r="I28" s="21"/>
      <c r="J28" s="27" t="s">
        <v>13</v>
      </c>
      <c r="K28" s="27" t="s">
        <v>53</v>
      </c>
    </row>
    <row r="29">
      <c r="A29" s="5"/>
      <c r="B29" s="22" t="s">
        <v>54</v>
      </c>
      <c r="C29" s="23"/>
      <c r="D29" s="23"/>
      <c r="E29" s="8">
        <f>SUM(E3:E28)</f>
        <v>75</v>
      </c>
      <c r="F29" s="24">
        <v>16.0</v>
      </c>
      <c r="G29" s="24">
        <v>6.0</v>
      </c>
      <c r="H29" s="24">
        <v>0.0</v>
      </c>
      <c r="I29" s="24">
        <v>2.0</v>
      </c>
      <c r="J29" s="24">
        <v>2.0</v>
      </c>
      <c r="K29" s="21"/>
    </row>
    <row r="31">
      <c r="B31" s="25" t="s">
        <v>107</v>
      </c>
      <c r="C31" s="3"/>
      <c r="D31" s="26">
        <f>E3+E4++E6+E8+E7</f>
        <v>20</v>
      </c>
    </row>
    <row r="32">
      <c r="B32" s="25" t="s">
        <v>108</v>
      </c>
      <c r="C32" s="3"/>
      <c r="D32" s="26">
        <f>E11+E12+E13+E14+E15+E10+E9</f>
        <v>20</v>
      </c>
    </row>
    <row r="33">
      <c r="B33" s="25" t="s">
        <v>109</v>
      </c>
      <c r="C33" s="3"/>
      <c r="D33" s="26">
        <f>E5+E23</f>
        <v>5</v>
      </c>
    </row>
    <row r="34">
      <c r="B34" s="25" t="s">
        <v>58</v>
      </c>
      <c r="C34" s="3"/>
      <c r="D34" s="26">
        <f>E16+E17+E18+E19+E20+E21+E22</f>
        <v>15</v>
      </c>
    </row>
    <row r="35">
      <c r="B35" s="25" t="s">
        <v>110</v>
      </c>
      <c r="C35" s="3"/>
      <c r="D35" s="26">
        <f>E24+E25+E26+E27+E28</f>
        <v>15</v>
      </c>
    </row>
    <row r="36">
      <c r="B36" s="27" t="s">
        <v>60</v>
      </c>
      <c r="C36" s="21"/>
      <c r="D36" s="26">
        <f>SUM(D31:D35)</f>
        <v>75</v>
      </c>
    </row>
  </sheetData>
  <mergeCells count="6">
    <mergeCell ref="A1:K1"/>
    <mergeCell ref="B31:C31"/>
    <mergeCell ref="B32:C32"/>
    <mergeCell ref="B33:C33"/>
    <mergeCell ref="B34:C34"/>
    <mergeCell ref="B35:C35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23.5"/>
    <col customWidth="1" min="6" max="6" width="4.75"/>
    <col customWidth="1" min="7" max="7" width="5.25"/>
    <col customWidth="1" min="8" max="9" width="5.5"/>
    <col customWidth="1" min="10" max="10" width="6.0"/>
    <col customWidth="1" min="11" max="11" width="43.38"/>
  </cols>
  <sheetData>
    <row r="1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>
      <c r="A3" s="5">
        <v>1.0</v>
      </c>
      <c r="B3" s="6" t="s">
        <v>112</v>
      </c>
      <c r="C3" s="5">
        <v>87500.0</v>
      </c>
      <c r="D3" s="5">
        <v>0.0</v>
      </c>
      <c r="E3" s="8">
        <v>3.8</v>
      </c>
      <c r="G3" s="9"/>
      <c r="H3" s="9"/>
      <c r="I3" s="9"/>
      <c r="J3" s="5" t="s">
        <v>13</v>
      </c>
      <c r="K3" s="6" t="s">
        <v>113</v>
      </c>
    </row>
    <row r="4">
      <c r="A4" s="5">
        <f t="shared" ref="A4:A25" si="1">A3+1</f>
        <v>2</v>
      </c>
      <c r="B4" s="6" t="s">
        <v>114</v>
      </c>
      <c r="C4" s="5">
        <v>87500.0</v>
      </c>
      <c r="D4" s="5">
        <v>0.0</v>
      </c>
      <c r="E4" s="8">
        <v>1.4</v>
      </c>
      <c r="F4" s="5" t="s">
        <v>13</v>
      </c>
      <c r="G4" s="29"/>
      <c r="H4" s="11"/>
      <c r="I4" s="11"/>
      <c r="J4" s="11"/>
      <c r="K4" s="18"/>
    </row>
    <row r="5">
      <c r="A5" s="5">
        <f t="shared" si="1"/>
        <v>3</v>
      </c>
      <c r="B5" s="6" t="s">
        <v>115</v>
      </c>
      <c r="C5" s="5">
        <v>87500.0</v>
      </c>
      <c r="D5" s="5">
        <v>8.0</v>
      </c>
      <c r="E5" s="8">
        <v>2.0</v>
      </c>
      <c r="F5" s="11"/>
      <c r="G5" s="29" t="s">
        <v>13</v>
      </c>
      <c r="H5" s="11"/>
      <c r="I5" s="11"/>
      <c r="J5" s="11"/>
      <c r="K5" s="18"/>
    </row>
    <row r="6">
      <c r="A6" s="5">
        <f t="shared" si="1"/>
        <v>4</v>
      </c>
      <c r="B6" s="6" t="s">
        <v>116</v>
      </c>
      <c r="C6" s="5">
        <v>87500.0</v>
      </c>
      <c r="D6" s="5">
        <v>0.0</v>
      </c>
      <c r="E6" s="8">
        <v>8.0</v>
      </c>
      <c r="F6" s="29"/>
      <c r="G6" s="11"/>
      <c r="H6" s="11"/>
      <c r="I6" s="29" t="s">
        <v>13</v>
      </c>
      <c r="J6" s="11"/>
      <c r="K6" s="6" t="s">
        <v>117</v>
      </c>
    </row>
    <row r="7">
      <c r="A7" s="5">
        <f t="shared" si="1"/>
        <v>5</v>
      </c>
      <c r="B7" s="6" t="s">
        <v>118</v>
      </c>
      <c r="C7" s="5">
        <v>87500.0</v>
      </c>
      <c r="D7" s="5">
        <v>6.0</v>
      </c>
      <c r="E7" s="8">
        <v>7.0</v>
      </c>
      <c r="F7" s="10"/>
      <c r="G7" s="5" t="s">
        <v>13</v>
      </c>
      <c r="H7" s="11"/>
      <c r="I7" s="11"/>
      <c r="J7" s="11"/>
      <c r="K7" s="6"/>
    </row>
    <row r="8">
      <c r="A8" s="5">
        <f t="shared" si="1"/>
        <v>6</v>
      </c>
      <c r="B8" s="6" t="s">
        <v>119</v>
      </c>
      <c r="C8" s="5">
        <v>87500.0</v>
      </c>
      <c r="D8" s="5">
        <v>0.0</v>
      </c>
      <c r="E8" s="8">
        <v>10.0</v>
      </c>
      <c r="F8" s="29" t="s">
        <v>13</v>
      </c>
      <c r="G8" s="11"/>
      <c r="H8" s="11"/>
      <c r="I8" s="11"/>
      <c r="J8" s="11"/>
      <c r="K8" s="6" t="s">
        <v>120</v>
      </c>
    </row>
    <row r="9">
      <c r="A9" s="5">
        <f t="shared" si="1"/>
        <v>7</v>
      </c>
      <c r="B9" s="6" t="s">
        <v>121</v>
      </c>
      <c r="C9" s="5">
        <v>87500.0</v>
      </c>
      <c r="D9" s="5">
        <v>0.0</v>
      </c>
      <c r="E9" s="8">
        <v>9.0</v>
      </c>
      <c r="F9" s="29" t="s">
        <v>13</v>
      </c>
      <c r="G9" s="11"/>
      <c r="H9" s="11"/>
      <c r="I9" s="11"/>
      <c r="J9" s="11"/>
      <c r="K9" s="6"/>
    </row>
    <row r="10">
      <c r="A10" s="5">
        <f t="shared" si="1"/>
        <v>8</v>
      </c>
      <c r="B10" s="6" t="s">
        <v>122</v>
      </c>
      <c r="C10" s="5">
        <v>87500.0</v>
      </c>
      <c r="D10" s="5">
        <v>0.0</v>
      </c>
      <c r="E10" s="8">
        <v>9.0</v>
      </c>
      <c r="F10" s="5" t="s">
        <v>13</v>
      </c>
      <c r="G10" s="11"/>
      <c r="H10" s="11"/>
      <c r="I10" s="10"/>
      <c r="J10" s="11"/>
      <c r="K10" s="6"/>
    </row>
    <row r="11">
      <c r="A11" s="5">
        <f t="shared" si="1"/>
        <v>9</v>
      </c>
      <c r="B11" s="6" t="s">
        <v>123</v>
      </c>
      <c r="C11" s="5">
        <v>87500.0</v>
      </c>
      <c r="D11" s="5">
        <v>4.0</v>
      </c>
      <c r="E11" s="8">
        <v>6.0</v>
      </c>
      <c r="F11" s="10"/>
      <c r="G11" s="5" t="s">
        <v>13</v>
      </c>
      <c r="H11" s="11"/>
      <c r="I11" s="11"/>
      <c r="J11" s="11"/>
      <c r="K11" s="6"/>
    </row>
    <row r="12">
      <c r="A12" s="5">
        <f t="shared" si="1"/>
        <v>10</v>
      </c>
      <c r="B12" s="6" t="s">
        <v>22</v>
      </c>
      <c r="C12" s="5">
        <v>87500.0</v>
      </c>
      <c r="D12" s="19">
        <v>0.0</v>
      </c>
      <c r="E12" s="8">
        <v>4.6</v>
      </c>
      <c r="F12" s="10" t="s">
        <v>13</v>
      </c>
      <c r="G12" s="11"/>
      <c r="H12" s="11"/>
      <c r="I12" s="11"/>
      <c r="J12" s="11"/>
      <c r="K12" s="18"/>
    </row>
    <row r="13">
      <c r="A13" s="5">
        <f t="shared" si="1"/>
        <v>11</v>
      </c>
      <c r="B13" s="6" t="s">
        <v>23</v>
      </c>
      <c r="C13" s="5">
        <v>87500.0</v>
      </c>
      <c r="D13" s="19">
        <v>0.0</v>
      </c>
      <c r="E13" s="8">
        <v>4.6</v>
      </c>
      <c r="F13" s="10" t="s">
        <v>13</v>
      </c>
      <c r="G13" s="11"/>
      <c r="H13" s="11"/>
      <c r="I13" s="11"/>
      <c r="J13" s="11"/>
      <c r="K13" s="6" t="s">
        <v>24</v>
      </c>
    </row>
    <row r="14">
      <c r="A14" s="5">
        <f t="shared" si="1"/>
        <v>12</v>
      </c>
      <c r="B14" s="6" t="s">
        <v>25</v>
      </c>
      <c r="C14" s="5">
        <v>87500.0</v>
      </c>
      <c r="D14" s="7">
        <v>0.0</v>
      </c>
      <c r="E14" s="8">
        <v>4.6</v>
      </c>
      <c r="F14" s="10" t="s">
        <v>13</v>
      </c>
      <c r="G14" s="11"/>
      <c r="H14" s="11"/>
      <c r="I14" s="11"/>
      <c r="J14" s="11"/>
      <c r="K14" s="18"/>
    </row>
    <row r="15">
      <c r="A15" s="5">
        <f t="shared" si="1"/>
        <v>13</v>
      </c>
      <c r="B15" s="6" t="s">
        <v>26</v>
      </c>
      <c r="C15" s="5">
        <v>87500.0</v>
      </c>
      <c r="D15" s="19">
        <v>0.0</v>
      </c>
      <c r="E15" s="8">
        <v>4.0</v>
      </c>
      <c r="F15" s="10" t="s">
        <v>13</v>
      </c>
      <c r="G15" s="11"/>
      <c r="H15" s="11"/>
      <c r="I15" s="11"/>
      <c r="J15" s="11"/>
      <c r="K15" s="6" t="s">
        <v>124</v>
      </c>
    </row>
    <row r="16">
      <c r="A16" s="5">
        <f t="shared" si="1"/>
        <v>14</v>
      </c>
      <c r="B16" s="6" t="s">
        <v>125</v>
      </c>
      <c r="C16" s="5">
        <v>87500.0</v>
      </c>
      <c r="D16" s="5">
        <v>0.0</v>
      </c>
      <c r="E16" s="8">
        <v>4.0</v>
      </c>
      <c r="F16" s="29" t="s">
        <v>13</v>
      </c>
      <c r="G16" s="11"/>
      <c r="H16" s="11"/>
      <c r="I16" s="11"/>
      <c r="J16" s="11"/>
      <c r="K16" s="6" t="s">
        <v>126</v>
      </c>
    </row>
    <row r="17">
      <c r="A17" s="5">
        <f t="shared" si="1"/>
        <v>15</v>
      </c>
      <c r="B17" s="6" t="s">
        <v>127</v>
      </c>
      <c r="C17" s="5">
        <v>87500.0</v>
      </c>
      <c r="D17" s="5">
        <v>0.0</v>
      </c>
      <c r="E17" s="8">
        <v>4.0</v>
      </c>
      <c r="F17" s="5" t="s">
        <v>13</v>
      </c>
      <c r="G17" s="11"/>
      <c r="H17" s="11"/>
      <c r="I17" s="10"/>
      <c r="J17" s="11"/>
      <c r="K17" s="6"/>
    </row>
    <row r="18">
      <c r="A18" s="5">
        <f t="shared" si="1"/>
        <v>16</v>
      </c>
      <c r="B18" s="6" t="s">
        <v>128</v>
      </c>
      <c r="C18" s="5">
        <v>87500.0</v>
      </c>
      <c r="D18" s="5">
        <v>0.0</v>
      </c>
      <c r="E18" s="8">
        <v>7.0</v>
      </c>
      <c r="F18" s="10"/>
      <c r="G18" s="11"/>
      <c r="H18" s="11"/>
      <c r="I18" s="5" t="s">
        <v>13</v>
      </c>
      <c r="J18" s="11"/>
      <c r="K18" s="6"/>
    </row>
    <row r="19">
      <c r="A19" s="5">
        <f t="shared" si="1"/>
        <v>17</v>
      </c>
      <c r="B19" s="6" t="s">
        <v>129</v>
      </c>
      <c r="C19" s="5">
        <v>87500.0</v>
      </c>
      <c r="D19" s="5">
        <v>0.0</v>
      </c>
      <c r="E19" s="8">
        <v>6.0</v>
      </c>
      <c r="F19" s="29" t="s">
        <v>13</v>
      </c>
      <c r="G19" s="11"/>
      <c r="H19" s="11"/>
      <c r="I19" s="11"/>
      <c r="J19" s="11"/>
      <c r="K19" s="6"/>
    </row>
    <row r="20">
      <c r="A20" s="5">
        <f t="shared" si="1"/>
        <v>18</v>
      </c>
      <c r="B20" s="6" t="s">
        <v>130</v>
      </c>
      <c r="C20" s="5">
        <v>87500.0</v>
      </c>
      <c r="D20" s="5">
        <v>10.0</v>
      </c>
      <c r="E20" s="8">
        <v>2.5</v>
      </c>
      <c r="F20" s="11"/>
      <c r="G20" s="29" t="s">
        <v>13</v>
      </c>
      <c r="H20" s="11"/>
      <c r="I20" s="11"/>
      <c r="J20" s="11"/>
      <c r="K20" s="18"/>
    </row>
    <row r="21">
      <c r="A21" s="5">
        <f t="shared" si="1"/>
        <v>19</v>
      </c>
      <c r="B21" s="6" t="s">
        <v>131</v>
      </c>
      <c r="C21" s="5">
        <v>87500.0</v>
      </c>
      <c r="D21" s="5">
        <v>0.0</v>
      </c>
      <c r="E21" s="8">
        <v>0.2</v>
      </c>
      <c r="F21" s="5"/>
      <c r="G21" s="11"/>
      <c r="H21" s="29" t="s">
        <v>13</v>
      </c>
      <c r="I21" s="11"/>
      <c r="J21" s="10"/>
      <c r="K21" s="6"/>
    </row>
    <row r="22">
      <c r="A22" s="5">
        <f t="shared" si="1"/>
        <v>20</v>
      </c>
      <c r="B22" s="6" t="s">
        <v>132</v>
      </c>
      <c r="C22" s="5">
        <v>87500.0</v>
      </c>
      <c r="D22" s="5">
        <v>0.0</v>
      </c>
      <c r="E22" s="8">
        <v>2.0</v>
      </c>
      <c r="F22" s="5" t="s">
        <v>13</v>
      </c>
      <c r="G22" s="11"/>
      <c r="H22" s="11"/>
      <c r="I22" s="11"/>
      <c r="J22" s="10"/>
      <c r="K22" s="6"/>
    </row>
    <row r="23">
      <c r="A23" s="5">
        <f t="shared" si="1"/>
        <v>21</v>
      </c>
      <c r="B23" s="6" t="s">
        <v>48</v>
      </c>
      <c r="C23" s="5">
        <v>87500.0</v>
      </c>
      <c r="D23" s="5">
        <v>0.0</v>
      </c>
      <c r="E23" s="8">
        <v>2.0</v>
      </c>
      <c r="F23" s="5" t="s">
        <v>13</v>
      </c>
      <c r="G23" s="11"/>
      <c r="H23" s="11"/>
      <c r="I23" s="11"/>
      <c r="J23" s="11"/>
      <c r="K23" s="18"/>
    </row>
    <row r="24">
      <c r="A24" s="5">
        <f t="shared" si="1"/>
        <v>22</v>
      </c>
      <c r="B24" s="6" t="s">
        <v>50</v>
      </c>
      <c r="C24" s="5">
        <v>87500.0</v>
      </c>
      <c r="D24" s="5">
        <v>20.0</v>
      </c>
      <c r="E24" s="8">
        <v>2.0</v>
      </c>
      <c r="F24" s="11"/>
      <c r="G24" s="5" t="s">
        <v>13</v>
      </c>
      <c r="H24" s="11"/>
      <c r="I24" s="11"/>
      <c r="J24" s="11"/>
      <c r="K24" s="18"/>
    </row>
    <row r="25">
      <c r="A25" s="5">
        <f t="shared" si="1"/>
        <v>23</v>
      </c>
      <c r="B25" s="6" t="s">
        <v>133</v>
      </c>
      <c r="C25" s="5">
        <v>87500.0</v>
      </c>
      <c r="D25" s="5">
        <v>0.0</v>
      </c>
      <c r="E25" s="8">
        <v>1.3</v>
      </c>
      <c r="F25" s="11"/>
      <c r="G25" s="11"/>
      <c r="H25" s="11"/>
      <c r="I25" s="11"/>
      <c r="J25" s="5" t="s">
        <v>13</v>
      </c>
      <c r="K25" s="18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>
      <c r="A27" s="21"/>
      <c r="B27" s="22" t="s">
        <v>54</v>
      </c>
      <c r="C27" s="23"/>
      <c r="D27" s="23"/>
      <c r="E27" s="33">
        <f>SUM(E3:E26)</f>
        <v>105</v>
      </c>
      <c r="F27" s="24">
        <v>10.0</v>
      </c>
      <c r="G27" s="24">
        <v>5.0</v>
      </c>
      <c r="H27" s="24">
        <v>1.0</v>
      </c>
      <c r="I27" s="24">
        <v>3.0</v>
      </c>
      <c r="J27" s="24">
        <v>2.0</v>
      </c>
      <c r="K27" s="21"/>
    </row>
    <row r="29">
      <c r="B29" s="25" t="s">
        <v>55</v>
      </c>
      <c r="C29" s="3"/>
      <c r="D29" s="26">
        <f>E3+E5+E4+E12+E13+E14+E15</f>
        <v>25</v>
      </c>
    </row>
    <row r="30">
      <c r="B30" s="25" t="s">
        <v>134</v>
      </c>
      <c r="C30" s="3"/>
      <c r="D30" s="26">
        <f>E7+E8+E9+E10</f>
        <v>35</v>
      </c>
    </row>
    <row r="31">
      <c r="B31" s="25" t="s">
        <v>135</v>
      </c>
      <c r="C31" s="3"/>
      <c r="D31" s="26">
        <f>E6+E18</f>
        <v>15</v>
      </c>
    </row>
    <row r="32">
      <c r="B32" s="25" t="s">
        <v>136</v>
      </c>
      <c r="C32" s="3"/>
      <c r="D32" s="26">
        <f>E11+E16+E17+E19</f>
        <v>20</v>
      </c>
    </row>
    <row r="33">
      <c r="B33" s="25" t="s">
        <v>59</v>
      </c>
      <c r="C33" s="3"/>
      <c r="D33" s="26">
        <f>E20+E21+E22+E23+E24+E25</f>
        <v>10</v>
      </c>
    </row>
    <row r="34">
      <c r="B34" s="27" t="s">
        <v>137</v>
      </c>
      <c r="C34" s="21"/>
      <c r="D34" s="26">
        <f>SUM(D29:D33)</f>
        <v>105</v>
      </c>
    </row>
  </sheetData>
  <mergeCells count="6">
    <mergeCell ref="A1:K1"/>
    <mergeCell ref="B29:C29"/>
    <mergeCell ref="B30:C30"/>
    <mergeCell ref="B31:C31"/>
    <mergeCell ref="B32:C32"/>
    <mergeCell ref="B33:C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21.0"/>
    <col customWidth="1" min="5" max="5" width="20.88"/>
    <col customWidth="1" min="6" max="6" width="7.13"/>
    <col customWidth="1" min="7" max="7" width="5.25"/>
    <col customWidth="1" min="8" max="8" width="5.75"/>
    <col customWidth="1" min="9" max="10" width="6.75"/>
    <col customWidth="1" min="11" max="11" width="27.63"/>
  </cols>
  <sheetData>
    <row r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62</v>
      </c>
      <c r="G2" s="4" t="s">
        <v>63</v>
      </c>
      <c r="H2" s="4" t="s">
        <v>8</v>
      </c>
      <c r="I2" s="4" t="s">
        <v>65</v>
      </c>
      <c r="J2" s="4" t="s">
        <v>66</v>
      </c>
      <c r="K2" s="4" t="s">
        <v>11</v>
      </c>
    </row>
    <row r="3">
      <c r="A3" s="5">
        <v>1.0</v>
      </c>
      <c r="B3" s="6" t="s">
        <v>139</v>
      </c>
      <c r="C3" s="5">
        <v>25186.0</v>
      </c>
      <c r="D3" s="5">
        <v>0.0</v>
      </c>
      <c r="E3" s="8">
        <v>3.0</v>
      </c>
      <c r="G3" s="9"/>
      <c r="H3" s="9"/>
      <c r="I3" s="9"/>
      <c r="J3" s="5" t="s">
        <v>13</v>
      </c>
      <c r="K3" s="6"/>
    </row>
    <row r="4">
      <c r="A4" s="5">
        <f t="shared" ref="A4:A27" si="1">A3+1</f>
        <v>2</v>
      </c>
      <c r="B4" s="6" t="s">
        <v>140</v>
      </c>
      <c r="C4" s="5">
        <f>C3</f>
        <v>25186</v>
      </c>
      <c r="D4" s="5">
        <v>6.0</v>
      </c>
      <c r="E4" s="8">
        <v>1.5</v>
      </c>
      <c r="F4" s="5"/>
      <c r="G4" s="5" t="s">
        <v>13</v>
      </c>
      <c r="H4" s="11"/>
      <c r="I4" s="11"/>
      <c r="J4" s="10"/>
      <c r="K4" s="6"/>
    </row>
    <row r="5">
      <c r="A5" s="5">
        <f t="shared" si="1"/>
        <v>3</v>
      </c>
      <c r="B5" s="6" t="s">
        <v>141</v>
      </c>
      <c r="C5" s="5">
        <f>C3</f>
        <v>25186</v>
      </c>
      <c r="D5" s="5">
        <v>0.0</v>
      </c>
      <c r="E5" s="8">
        <v>3.0</v>
      </c>
      <c r="F5" s="5" t="s">
        <v>13</v>
      </c>
      <c r="G5" s="29"/>
      <c r="H5" s="11"/>
      <c r="I5" s="11"/>
      <c r="J5" s="11"/>
      <c r="K5" s="6" t="s">
        <v>142</v>
      </c>
    </row>
    <row r="6">
      <c r="A6" s="5">
        <f t="shared" si="1"/>
        <v>4</v>
      </c>
      <c r="B6" s="6" t="s">
        <v>143</v>
      </c>
      <c r="C6" s="5">
        <f>C3</f>
        <v>25186</v>
      </c>
      <c r="D6" s="5">
        <v>6.0</v>
      </c>
      <c r="E6" s="8">
        <v>3.0</v>
      </c>
      <c r="F6" s="29"/>
      <c r="G6" s="5" t="s">
        <v>13</v>
      </c>
      <c r="H6" s="11"/>
      <c r="I6" s="11"/>
      <c r="J6" s="11"/>
      <c r="K6" s="6"/>
    </row>
    <row r="7">
      <c r="A7" s="5">
        <f t="shared" si="1"/>
        <v>5</v>
      </c>
      <c r="B7" s="6" t="s">
        <v>144</v>
      </c>
      <c r="C7" s="5">
        <f>C3</f>
        <v>25186</v>
      </c>
      <c r="D7" s="5">
        <v>0.0</v>
      </c>
      <c r="E7" s="8">
        <v>6.0</v>
      </c>
      <c r="F7" s="29" t="s">
        <v>13</v>
      </c>
      <c r="G7" s="5"/>
      <c r="H7" s="11"/>
      <c r="I7" s="11"/>
      <c r="J7" s="11"/>
      <c r="K7" s="6"/>
    </row>
    <row r="8">
      <c r="A8" s="5">
        <f t="shared" si="1"/>
        <v>6</v>
      </c>
      <c r="B8" s="6" t="s">
        <v>145</v>
      </c>
      <c r="C8" s="5">
        <f>C3</f>
        <v>25186</v>
      </c>
      <c r="D8" s="5">
        <v>0.0</v>
      </c>
      <c r="E8" s="8">
        <v>6.0</v>
      </c>
      <c r="F8" s="29" t="s">
        <v>13</v>
      </c>
      <c r="G8" s="11"/>
      <c r="H8" s="11"/>
      <c r="I8" s="11"/>
      <c r="J8" s="11"/>
      <c r="K8" s="6"/>
    </row>
    <row r="9">
      <c r="A9" s="5">
        <f t="shared" si="1"/>
        <v>7</v>
      </c>
      <c r="B9" s="6" t="s">
        <v>146</v>
      </c>
      <c r="C9" s="5">
        <f>C3</f>
        <v>25186</v>
      </c>
      <c r="D9" s="5">
        <v>0.0</v>
      </c>
      <c r="E9" s="8">
        <v>6.0</v>
      </c>
      <c r="F9" s="5"/>
      <c r="G9" s="11"/>
      <c r="H9" s="11"/>
      <c r="I9" s="29" t="s">
        <v>13</v>
      </c>
      <c r="J9" s="11"/>
      <c r="K9" s="6"/>
    </row>
    <row r="10">
      <c r="A10" s="5">
        <f t="shared" si="1"/>
        <v>8</v>
      </c>
      <c r="B10" s="6" t="s">
        <v>28</v>
      </c>
      <c r="C10" s="5">
        <f>C3</f>
        <v>25186</v>
      </c>
      <c r="D10" s="5">
        <v>10.0</v>
      </c>
      <c r="E10" s="8">
        <v>5.5</v>
      </c>
      <c r="F10" s="11"/>
      <c r="G10" s="29" t="s">
        <v>13</v>
      </c>
      <c r="H10" s="11"/>
      <c r="I10" s="5"/>
      <c r="J10" s="11"/>
      <c r="K10" s="18"/>
    </row>
    <row r="11">
      <c r="A11" s="5">
        <f t="shared" si="1"/>
        <v>9</v>
      </c>
      <c r="B11" s="6" t="s">
        <v>22</v>
      </c>
      <c r="C11" s="5">
        <f>C3</f>
        <v>25186</v>
      </c>
      <c r="D11" s="19">
        <v>0.0</v>
      </c>
      <c r="E11" s="8">
        <v>4.5</v>
      </c>
      <c r="F11" s="10" t="s">
        <v>13</v>
      </c>
      <c r="G11" s="11"/>
      <c r="H11" s="11"/>
      <c r="I11" s="11"/>
      <c r="J11" s="11"/>
      <c r="K11" s="18"/>
    </row>
    <row r="12">
      <c r="A12" s="5">
        <f t="shared" si="1"/>
        <v>10</v>
      </c>
      <c r="B12" s="6" t="s">
        <v>23</v>
      </c>
      <c r="C12" s="5">
        <f>C3</f>
        <v>25186</v>
      </c>
      <c r="D12" s="19">
        <v>0.0</v>
      </c>
      <c r="E12" s="8">
        <v>4.5</v>
      </c>
      <c r="F12" s="10" t="s">
        <v>13</v>
      </c>
      <c r="G12" s="11"/>
      <c r="H12" s="11"/>
      <c r="I12" s="11"/>
      <c r="J12" s="11"/>
      <c r="K12" s="6" t="s">
        <v>24</v>
      </c>
    </row>
    <row r="13">
      <c r="A13" s="5">
        <f t="shared" si="1"/>
        <v>11</v>
      </c>
      <c r="B13" s="6" t="s">
        <v>25</v>
      </c>
      <c r="C13" s="5">
        <f>C3</f>
        <v>25186</v>
      </c>
      <c r="D13" s="7">
        <v>0.0</v>
      </c>
      <c r="E13" s="8">
        <v>4.5</v>
      </c>
      <c r="F13" s="10" t="s">
        <v>13</v>
      </c>
      <c r="G13" s="11"/>
      <c r="H13" s="11"/>
      <c r="I13" s="11"/>
      <c r="J13" s="11"/>
      <c r="K13" s="18"/>
    </row>
    <row r="14">
      <c r="A14" s="5">
        <f t="shared" si="1"/>
        <v>12</v>
      </c>
      <c r="B14" s="6" t="s">
        <v>26</v>
      </c>
      <c r="C14" s="5">
        <f>C3</f>
        <v>25186</v>
      </c>
      <c r="D14" s="19">
        <v>0.0</v>
      </c>
      <c r="E14" s="8">
        <v>4.0</v>
      </c>
      <c r="F14" s="10" t="s">
        <v>13</v>
      </c>
      <c r="G14" s="11"/>
      <c r="H14" s="11"/>
      <c r="I14" s="11"/>
      <c r="J14" s="11"/>
      <c r="K14" s="6" t="s">
        <v>124</v>
      </c>
    </row>
    <row r="15">
      <c r="A15" s="5">
        <f t="shared" si="1"/>
        <v>13</v>
      </c>
      <c r="B15" s="6" t="s">
        <v>125</v>
      </c>
      <c r="C15" s="5">
        <f>C3</f>
        <v>25186</v>
      </c>
      <c r="D15" s="5">
        <v>0.0</v>
      </c>
      <c r="E15" s="8">
        <v>5.5</v>
      </c>
      <c r="F15" s="29" t="s">
        <v>13</v>
      </c>
      <c r="G15" s="11"/>
      <c r="H15" s="11"/>
      <c r="I15" s="11"/>
      <c r="J15" s="11"/>
      <c r="K15" s="6" t="s">
        <v>147</v>
      </c>
    </row>
    <row r="16">
      <c r="A16" s="5">
        <f t="shared" si="1"/>
        <v>14</v>
      </c>
      <c r="B16" s="6" t="s">
        <v>148</v>
      </c>
      <c r="C16" s="5">
        <f>C3</f>
        <v>25186</v>
      </c>
      <c r="D16" s="5">
        <v>0.0</v>
      </c>
      <c r="E16" s="8">
        <v>6.0</v>
      </c>
      <c r="F16" s="29" t="s">
        <v>13</v>
      </c>
      <c r="G16" s="11"/>
      <c r="H16" s="11"/>
      <c r="I16" s="11"/>
      <c r="J16" s="11"/>
      <c r="K16" s="6"/>
    </row>
    <row r="17">
      <c r="A17" s="5">
        <f t="shared" si="1"/>
        <v>15</v>
      </c>
      <c r="B17" s="6" t="s">
        <v>128</v>
      </c>
      <c r="C17" s="5">
        <f>C3</f>
        <v>25186</v>
      </c>
      <c r="D17" s="5">
        <v>0.0</v>
      </c>
      <c r="E17" s="8">
        <v>7.0</v>
      </c>
      <c r="F17" s="5"/>
      <c r="G17" s="11"/>
      <c r="H17" s="11"/>
      <c r="I17" s="29" t="s">
        <v>13</v>
      </c>
      <c r="J17" s="11"/>
      <c r="K17" s="6"/>
    </row>
    <row r="18">
      <c r="A18" s="5">
        <f t="shared" si="1"/>
        <v>16</v>
      </c>
      <c r="B18" s="6" t="s">
        <v>98</v>
      </c>
      <c r="C18" s="5">
        <f>C3</f>
        <v>25186</v>
      </c>
      <c r="D18" s="5">
        <v>8.0</v>
      </c>
      <c r="E18" s="8">
        <v>6.0</v>
      </c>
      <c r="F18" s="10"/>
      <c r="G18" s="5" t="s">
        <v>13</v>
      </c>
      <c r="H18" s="11"/>
      <c r="I18" s="5"/>
      <c r="J18" s="11"/>
      <c r="K18" s="6"/>
    </row>
    <row r="19">
      <c r="A19" s="5">
        <f t="shared" si="1"/>
        <v>17</v>
      </c>
      <c r="B19" s="6" t="s">
        <v>149</v>
      </c>
      <c r="C19" s="5">
        <f>C3</f>
        <v>25186</v>
      </c>
      <c r="D19" s="5">
        <v>0.0</v>
      </c>
      <c r="E19" s="8">
        <v>6.0</v>
      </c>
      <c r="F19" s="29" t="s">
        <v>13</v>
      </c>
      <c r="G19" s="11"/>
      <c r="H19" s="11"/>
      <c r="I19" s="11"/>
      <c r="J19" s="11"/>
      <c r="K19" s="6"/>
    </row>
    <row r="20">
      <c r="A20" s="5">
        <f t="shared" si="1"/>
        <v>18</v>
      </c>
      <c r="B20" s="6" t="s">
        <v>129</v>
      </c>
      <c r="C20" s="5">
        <f>C3</f>
        <v>25186</v>
      </c>
      <c r="D20" s="5">
        <v>0.0</v>
      </c>
      <c r="E20" s="8">
        <v>6.0</v>
      </c>
      <c r="F20" s="5" t="s">
        <v>13</v>
      </c>
      <c r="G20" s="29"/>
      <c r="H20" s="11"/>
      <c r="I20" s="11"/>
      <c r="J20" s="11"/>
      <c r="K20" s="18"/>
    </row>
    <row r="21">
      <c r="A21" s="5">
        <f t="shared" si="1"/>
        <v>19</v>
      </c>
      <c r="B21" s="6" t="s">
        <v>150</v>
      </c>
      <c r="C21" s="5">
        <f>C3</f>
        <v>25186</v>
      </c>
      <c r="D21" s="5">
        <v>0.0</v>
      </c>
      <c r="E21" s="8">
        <v>7.0</v>
      </c>
      <c r="F21" s="5"/>
      <c r="G21" s="11"/>
      <c r="H21" s="11"/>
      <c r="I21" s="5" t="s">
        <v>13</v>
      </c>
      <c r="J21" s="10"/>
      <c r="K21" s="6"/>
    </row>
    <row r="22">
      <c r="A22" s="5">
        <f t="shared" si="1"/>
        <v>20</v>
      </c>
      <c r="B22" s="6" t="s">
        <v>44</v>
      </c>
      <c r="C22" s="5">
        <f>C3</f>
        <v>25186</v>
      </c>
      <c r="D22" s="5">
        <v>10.0</v>
      </c>
      <c r="E22" s="8">
        <v>1.0</v>
      </c>
      <c r="F22" s="5"/>
      <c r="G22" s="5" t="s">
        <v>13</v>
      </c>
      <c r="H22" s="11"/>
      <c r="I22" s="11"/>
      <c r="J22" s="11"/>
      <c r="K22" s="18"/>
    </row>
    <row r="23">
      <c r="A23" s="5">
        <f t="shared" si="1"/>
        <v>21</v>
      </c>
      <c r="B23" s="6" t="s">
        <v>45</v>
      </c>
      <c r="C23" s="5">
        <f>C3</f>
        <v>25186</v>
      </c>
      <c r="D23" s="19">
        <v>0.0</v>
      </c>
      <c r="E23" s="8">
        <v>1.0</v>
      </c>
      <c r="F23" s="10"/>
      <c r="G23" s="11"/>
      <c r="H23" s="10" t="s">
        <v>13</v>
      </c>
      <c r="I23" s="11"/>
      <c r="J23" s="11"/>
      <c r="K23" s="6"/>
    </row>
    <row r="24">
      <c r="A24" s="5">
        <f t="shared" si="1"/>
        <v>22</v>
      </c>
      <c r="B24" s="6" t="s">
        <v>151</v>
      </c>
      <c r="C24" s="5">
        <f>C3</f>
        <v>25186</v>
      </c>
      <c r="D24" s="5">
        <v>0.0</v>
      </c>
      <c r="E24" s="8">
        <v>1.5</v>
      </c>
      <c r="F24" s="5" t="s">
        <v>13</v>
      </c>
      <c r="G24" s="5"/>
      <c r="H24" s="11"/>
      <c r="I24" s="11"/>
      <c r="J24" s="11"/>
      <c r="K24" s="18"/>
    </row>
    <row r="25">
      <c r="A25" s="5">
        <f t="shared" si="1"/>
        <v>23</v>
      </c>
      <c r="B25" s="6" t="s">
        <v>48</v>
      </c>
      <c r="C25" s="5">
        <f>C3</f>
        <v>25186</v>
      </c>
      <c r="D25" s="5">
        <v>0.0</v>
      </c>
      <c r="E25" s="8">
        <v>1.5</v>
      </c>
      <c r="F25" s="5" t="s">
        <v>13</v>
      </c>
      <c r="G25" s="11"/>
      <c r="H25" s="11"/>
      <c r="I25" s="11"/>
      <c r="J25" s="5"/>
      <c r="K25" s="18"/>
    </row>
    <row r="26">
      <c r="A26" s="5">
        <f t="shared" si="1"/>
        <v>24</v>
      </c>
      <c r="B26" s="6" t="s">
        <v>50</v>
      </c>
      <c r="C26" s="5">
        <f>C3</f>
        <v>25186</v>
      </c>
      <c r="D26" s="5">
        <v>20.0</v>
      </c>
      <c r="E26" s="8">
        <v>4.0</v>
      </c>
      <c r="F26" s="5"/>
      <c r="G26" s="6" t="s">
        <v>13</v>
      </c>
      <c r="H26" s="5"/>
      <c r="I26" s="5"/>
      <c r="J26" s="34"/>
      <c r="K26" s="21"/>
    </row>
    <row r="27">
      <c r="A27" s="5">
        <f t="shared" si="1"/>
        <v>25</v>
      </c>
      <c r="B27" s="6" t="s">
        <v>133</v>
      </c>
      <c r="C27" s="5">
        <f>C3</f>
        <v>25186</v>
      </c>
      <c r="D27" s="5">
        <v>0.0</v>
      </c>
      <c r="E27" s="8">
        <v>1.0</v>
      </c>
      <c r="F27" s="5"/>
      <c r="G27" s="6"/>
      <c r="H27" s="5"/>
      <c r="I27" s="5"/>
      <c r="J27" s="27" t="s">
        <v>13</v>
      </c>
      <c r="K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>
      <c r="A29" s="21"/>
      <c r="B29" s="22" t="s">
        <v>54</v>
      </c>
      <c r="C29" s="23"/>
      <c r="D29" s="23"/>
      <c r="E29" s="33">
        <f>SUM(E3:E27)</f>
        <v>105</v>
      </c>
      <c r="F29" s="24">
        <v>10.0</v>
      </c>
      <c r="G29" s="24">
        <v>7.0</v>
      </c>
      <c r="H29" s="24">
        <v>1.0</v>
      </c>
      <c r="I29" s="24">
        <v>3.0</v>
      </c>
      <c r="J29" s="24">
        <v>2.0</v>
      </c>
      <c r="K29" s="21"/>
    </row>
    <row r="31">
      <c r="B31" s="25" t="s">
        <v>55</v>
      </c>
      <c r="C31" s="3"/>
      <c r="D31" s="26">
        <f>E3+E4+E5+E11+E12+E13+E14</f>
        <v>25</v>
      </c>
    </row>
    <row r="32">
      <c r="B32" s="25" t="s">
        <v>152</v>
      </c>
      <c r="C32" s="3"/>
      <c r="D32" s="26">
        <f>E6+E7+E8</f>
        <v>15</v>
      </c>
    </row>
    <row r="33">
      <c r="B33" s="25" t="s">
        <v>153</v>
      </c>
      <c r="C33" s="3"/>
      <c r="D33" s="26">
        <f>E9+E17+E21</f>
        <v>20</v>
      </c>
    </row>
    <row r="34">
      <c r="B34" s="25" t="s">
        <v>154</v>
      </c>
      <c r="C34" s="3"/>
      <c r="D34" s="26">
        <f>E15+E10+E16+E18+E19+E20</f>
        <v>35</v>
      </c>
    </row>
    <row r="35">
      <c r="B35" s="25" t="s">
        <v>59</v>
      </c>
      <c r="C35" s="3"/>
      <c r="D35" s="26">
        <f>E22+E23+E24+E25+E26+E27</f>
        <v>10</v>
      </c>
    </row>
    <row r="36">
      <c r="B36" s="27" t="s">
        <v>155</v>
      </c>
      <c r="C36" s="21"/>
      <c r="D36" s="26">
        <f>SUM(D31:D35)</f>
        <v>105</v>
      </c>
    </row>
  </sheetData>
  <mergeCells count="6">
    <mergeCell ref="A1:K1"/>
    <mergeCell ref="B31:C31"/>
    <mergeCell ref="B32:C32"/>
    <mergeCell ref="B33:C33"/>
    <mergeCell ref="B34:C34"/>
    <mergeCell ref="B35:C35"/>
  </mergeCells>
  <drawing r:id="rId1"/>
</worksheet>
</file>