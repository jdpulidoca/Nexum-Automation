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upuesto" sheetId="1" r:id="rId5"/>
    <sheet state="visible" name="APU" sheetId="2" r:id="rId6"/>
    <sheet state="visible" name="Flujo de caja" sheetId="3" r:id="rId7"/>
  </sheets>
  <definedNames/>
  <calcPr/>
</workbook>
</file>

<file path=xl/sharedStrings.xml><?xml version="1.0" encoding="utf-8"?>
<sst xmlns="http://schemas.openxmlformats.org/spreadsheetml/2006/main" count="454" uniqueCount="299">
  <si>
    <t>Presupuesto Integrado Proyecto Automatización</t>
  </si>
  <si>
    <t xml:space="preserve">Presupuesto Integrado Proyecto Automatización por linea </t>
  </si>
  <si>
    <t>Tabla de tarifas laborales del proyecto</t>
  </si>
  <si>
    <t>Categoría</t>
  </si>
  <si>
    <t>Ítem / Paquete</t>
  </si>
  <si>
    <t>Cant.</t>
  </si>
  <si>
    <t>Unidad</t>
  </si>
  <si>
    <t>Valor unitario (COP)</t>
  </si>
  <si>
    <t>Subtotal (COP)</t>
  </si>
  <si>
    <t>Comentarios / Referencias</t>
  </si>
  <si>
    <t>Línea</t>
  </si>
  <si>
    <t>Tipo de recurso</t>
  </si>
  <si>
    <t>Rol en el proyecto</t>
  </si>
  <si>
    <t>Salario mensual referencia (COP)</t>
  </si>
  <si>
    <t>Horas mensuales</t>
  </si>
  <si>
    <t>Costo base por hora (COP)</t>
  </si>
  <si>
    <t>Factor de carga</t>
  </si>
  <si>
    <t>Costo final por hora (COP)</t>
  </si>
  <si>
    <t>1. Equipos mecánicos y celda de paletizado</t>
  </si>
  <si>
    <t>Robot palletizer 4 ejes + controlador</t>
  </si>
  <si>
    <t>und</t>
  </si>
  <si>
    <t>ABB IRB 460, 110 kg carga, 2,4 m alcance (standardbots.com)</t>
  </si>
  <si>
    <t>Monster Energy</t>
  </si>
  <si>
    <t>Control, seguridad y digitalización</t>
  </si>
  <si>
    <t>PLC Siemens S7-1200 CPU 1214C</t>
  </si>
  <si>
    <t>Motion Control y control de variadores</t>
  </si>
  <si>
    <t>Estudiante Ingeniería Industrial</t>
  </si>
  <si>
    <t>Análisis de procesos</t>
  </si>
  <si>
    <t>Herramental EOAT / gripper para packs o cajas</t>
  </si>
  <si>
    <t>Diseño específico para packs/cajas</t>
  </si>
  <si>
    <t>HMI Siemens KTP700 Basic</t>
  </si>
  <si>
    <t>Panel operador con supervisión</t>
  </si>
  <si>
    <t>Estudiante Ingeniería Automatización</t>
  </si>
  <si>
    <t>Diseño de automatización</t>
  </si>
  <si>
    <t>Pedestal, placa base y pernos</t>
  </si>
  <si>
    <t>Base mecánica del robot</t>
  </si>
  <si>
    <t>Barreras / escáner / enclavamientos</t>
  </si>
  <si>
    <t>Seguridad funcional en línea</t>
  </si>
  <si>
    <t>Estudiante Programación PLC</t>
  </si>
  <si>
    <t>Desarrollo de control</t>
  </si>
  <si>
    <t>Dispensador / magazine de pallets vacíos</t>
  </si>
  <si>
    <t>Pallet feeder estándar</t>
  </si>
  <si>
    <t>Sensores Machine Vision / Rayos X</t>
  </si>
  <si>
    <t>Rechazo automático de latas defectuosas</t>
  </si>
  <si>
    <t>Estudiante Simulación Industrial</t>
  </si>
  <si>
    <t>Modelado y simulación</t>
  </si>
  <si>
    <t>Conveyor modular de acumulación (12 m)</t>
  </si>
  <si>
    <t>Modular, velocidad compatible con línea</t>
  </si>
  <si>
    <t>Subtotal Control y seguridad</t>
  </si>
  <si>
    <t>Estudiante Desarrollo SCADA</t>
  </si>
  <si>
    <t>Interfaz HMI y supervisión</t>
  </si>
  <si>
    <t>Conveyor de rodillos salida pallet (5 m)</t>
  </si>
  <si>
    <t>Rodillos, integración con palletizado</t>
  </si>
  <si>
    <t>Software, pruebas y logística</t>
  </si>
  <si>
    <t>Consumibles FAT/SAT y calibración</t>
  </si>
  <si>
    <t>Palets de prueba, film y packs</t>
  </si>
  <si>
    <t>Cerramiento y puertas de seguridad</t>
  </si>
  <si>
    <t>Seguridad funcional Pilz / escáner</t>
  </si>
  <si>
    <t>Subtotal Software, pruebas y logística</t>
  </si>
  <si>
    <t>La tarifa laboral utilizada se estimó a partir de un promedio ponderado de salarios de auxiliares o practicantes de ingeniería en Colombia. Posteriormente, el valor mensual se convirtió a tarifa horaria considerando una jornada laboral estándar de 44 horas semanales (176 horas mensuales). Finalmente, el valor obtenido se multiplicó por un factor de carga de 1.5 para incluir el uso de infraestructura, herramientas y licencias de software requeridas para el desarrollo del proyecto de simulación. Este procedimiento sigue las prácticas de estimación de costos descritas en el A Guide to the Project Management Body of Knowledge (PMBOK® Guide) – Seventh Edition, en el proceso de estimación de costos del proyecto.</t>
  </si>
  <si>
    <t>Base civil, anclajes y nivelación</t>
  </si>
  <si>
    <t>Nivelación y montaje robusto</t>
  </si>
  <si>
    <t>Subtotal Línea</t>
  </si>
  <si>
    <t>Subtotal Equipos mecánicos</t>
  </si>
  <si>
    <t>Quatro (Triblock PET 1.5L)</t>
  </si>
  <si>
    <t>Equipos mecánicos</t>
  </si>
  <si>
    <t>Conveyor de preformas y llenadora</t>
  </si>
  <si>
    <t>Automatización flujo de preformas</t>
  </si>
  <si>
    <t>Tabla de estimación de costos por paquete de trabajo (EDT)</t>
  </si>
  <si>
    <t>2. Control, seguridad y digitalización</t>
  </si>
  <si>
    <t>430 € aprox (Automation24)</t>
  </si>
  <si>
    <t>EDT</t>
  </si>
  <si>
    <t>Actividad</t>
  </si>
  <si>
    <t>Recurso principal</t>
  </si>
  <si>
    <t>Horas estimadas</t>
  </si>
  <si>
    <t>Costo hora (COP)</t>
  </si>
  <si>
    <t>Costo total (COP)</t>
  </si>
  <si>
    <t>Control de presión y temperatura</t>
  </si>
  <si>
    <t>Definición y análisis del proceso</t>
  </si>
  <si>
    <t>Estudiante Ing. Industrial</t>
  </si>
  <si>
    <t>ET200SP DI 8x24V</t>
  </si>
  <si>
    <t>USD 139,95</t>
  </si>
  <si>
    <t>Visualización variables críticas</t>
  </si>
  <si>
    <t>Evaluación del sistema productivo</t>
  </si>
  <si>
    <t>ET200SP DO 8x24V</t>
  </si>
  <si>
    <t>USD 175,43</t>
  </si>
  <si>
    <t>Torquímetros Dinámicos / Feedback</t>
  </si>
  <si>
    <t>Sellado hermético de tapas PET</t>
  </si>
  <si>
    <t>Diseño de solución de automatización</t>
  </si>
  <si>
    <t>Estudiante Ing. Automatización</t>
  </si>
  <si>
    <t>Safety relay Pilz PNOZ X4</t>
  </si>
  <si>
    <t>USD 574,75</t>
  </si>
  <si>
    <t>Simulación del sistema productivo</t>
  </si>
  <si>
    <t>Estudiante Simulación</t>
  </si>
  <si>
    <t>Seguridad funcional</t>
  </si>
  <si>
    <t>Instrumentación y calibración</t>
  </si>
  <si>
    <t>Validación de variables críticas</t>
  </si>
  <si>
    <t>Diseño celda robotizada</t>
  </si>
  <si>
    <t>Estudiante Automatización</t>
  </si>
  <si>
    <t>Sensores fotoeléctricos / presencia</t>
  </si>
  <si>
    <t>Sensor de presencia línea</t>
  </si>
  <si>
    <t>Desarrollo control PLC</t>
  </si>
  <si>
    <t>Estudiante PLC</t>
  </si>
  <si>
    <t>Switch industrial Ethernet</t>
  </si>
  <si>
    <t>Para red industrial</t>
  </si>
  <si>
    <t>Desarrollo SCADA</t>
  </si>
  <si>
    <t>Estudiante SCADA</t>
  </si>
  <si>
    <t>Gateway / IPC OEE-MES lite</t>
  </si>
  <si>
    <t>Captura y digitalización datos</t>
  </si>
  <si>
    <t>Agua Brisa (Garrafón 20L)</t>
  </si>
  <si>
    <t>Equipos mecánicos y celda de paletizado</t>
  </si>
  <si>
    <t>Celda robótica para paletizado 20L</t>
  </si>
  <si>
    <t>Evaluación técnica y económica</t>
  </si>
  <si>
    <t>Estudiante Industrial</t>
  </si>
  <si>
    <t>Baliza, botonería, E-stops</t>
  </si>
  <si>
    <t>Seguridad y operación</t>
  </si>
  <si>
    <t>Herramental EOAT / gripper</t>
  </si>
  <si>
    <t>Adaptación a garrafones 20kg</t>
  </si>
  <si>
    <t>Documentación y entregables</t>
  </si>
  <si>
    <t>Pedestal, base y pernos</t>
  </si>
  <si>
    <t>3. Eléctrico, panel y neumática</t>
  </si>
  <si>
    <t>Tablero de control y montaje</t>
  </si>
  <si>
    <t>Panel local integración</t>
  </si>
  <si>
    <t>Conveyor de salida pallet</t>
  </si>
  <si>
    <t>Transporte a zona de almacenamiento</t>
  </si>
  <si>
    <t>Fuentes, breakers, contactores, borneras</t>
  </si>
  <si>
    <t>Potencia y control</t>
  </si>
  <si>
    <t>Tabla de costos de infraestructura y software</t>
  </si>
  <si>
    <t>Cableado de potencia y control</t>
  </si>
  <si>
    <t>Incluye red y bandejas</t>
  </si>
  <si>
    <t>Captura de producción y control</t>
  </si>
  <si>
    <t>Software / Herramienta</t>
  </si>
  <si>
    <t>Uso en el proyecto</t>
  </si>
  <si>
    <t xml:space="preserve">Tipo </t>
  </si>
  <si>
    <t>Cantidad</t>
  </si>
  <si>
    <t>Bandejas / canaletas / prensaestopas</t>
  </si>
  <si>
    <t>Organización de cableado</t>
  </si>
  <si>
    <t xml:space="preserve">Software y herramientas de desarrollo </t>
  </si>
  <si>
    <t>Sistema neumático / vacío gripper</t>
  </si>
  <si>
    <t>Compresor / válvulas / tubería</t>
  </si>
  <si>
    <t>Eléctrico, panel y neumática</t>
  </si>
  <si>
    <t>Tablero, breakers, cableado, bandejas, neumática y variadores</t>
  </si>
  <si>
    <t>Aplica a robot y conveyors</t>
  </si>
  <si>
    <t>Factory I/O</t>
  </si>
  <si>
    <t>Simulación de procesos industriales y pruebas de PLC</t>
  </si>
  <si>
    <t>Académica</t>
  </si>
  <si>
    <t>Variadores / accionamientos auxiliares</t>
  </si>
  <si>
    <t>Motorización auxiliar</t>
  </si>
  <si>
    <t>Subtotal eléctrico y neumática</t>
  </si>
  <si>
    <t>Studio 5000</t>
  </si>
  <si>
    <t>Programación PLC y lógica Ladder</t>
  </si>
  <si>
    <t>Subtotal eléctrico y neumático</t>
  </si>
  <si>
    <t>-</t>
  </si>
  <si>
    <t>NX (Siemens NX)</t>
  </si>
  <si>
    <t>Diseño CAD y modelado de componentes</t>
  </si>
  <si>
    <t>4. Software, pruebas y logística</t>
  </si>
  <si>
    <t>TIA Portal STEP 7 Basic V20</t>
  </si>
  <si>
    <t>Licencia básica PLC</t>
  </si>
  <si>
    <t>Licencias completas robot + PLC + SCADA</t>
  </si>
  <si>
    <t>TIA Portal, WinCC, RobotStudio, Palletizing PowerPac</t>
  </si>
  <si>
    <t>Autodesk Inventor</t>
  </si>
  <si>
    <t>Modelado 3D de sistemas mecánicos</t>
  </si>
  <si>
    <t>WinCC Basic engineering</t>
  </si>
  <si>
    <t>Licencia SCADA</t>
  </si>
  <si>
    <t>Instrumentación / alquiler medición</t>
  </si>
  <si>
    <t>Medición y seguridad tests</t>
  </si>
  <si>
    <t>ABB RobotStudio</t>
  </si>
  <si>
    <t>Simulación de robots industriales</t>
  </si>
  <si>
    <t>ABB RobotStudio Premium 1 año</t>
  </si>
  <si>
    <t>Software simulación robot</t>
  </si>
  <si>
    <t>Flete, nacionalización y maniobras</t>
  </si>
  <si>
    <t>Transporte y logística</t>
  </si>
  <si>
    <t>Tecnomatix Plant Simulation</t>
  </si>
  <si>
    <t>Simulación de sistemas productivos</t>
  </si>
  <si>
    <t>ABB Palletizing PowerPac 1 año</t>
  </si>
  <si>
    <t>Librería palletizado</t>
  </si>
  <si>
    <t>GitHub</t>
  </si>
  <si>
    <t>Repositorio del proyecto</t>
  </si>
  <si>
    <t>Gratuita</t>
  </si>
  <si>
    <t>Consumibles FAT/SAT</t>
  </si>
  <si>
    <t>Pallets, film, packs de prueba</t>
  </si>
  <si>
    <t xml:space="preserve">Infraestructura y servicios </t>
  </si>
  <si>
    <t>TOTAL GENERAL</t>
  </si>
  <si>
    <t>COP</t>
  </si>
  <si>
    <t>Energía eléctrica</t>
  </si>
  <si>
    <t xml:space="preserve">Desarrollo del proyecto </t>
  </si>
  <si>
    <t xml:space="preserve">Servicio de internet </t>
  </si>
  <si>
    <t>Subtotal software, pruebas y logística</t>
  </si>
  <si>
    <t>5. Mano de obra directa (EDT)</t>
  </si>
  <si>
    <t>h</t>
  </si>
  <si>
    <t>EDT 1.1,1.2,1.8,1.9</t>
  </si>
  <si>
    <t>Total linea 1</t>
  </si>
  <si>
    <t>EDT 1.3,1.5</t>
  </si>
  <si>
    <t xml:space="preserve">Total costos directos </t>
  </si>
  <si>
    <t>EDT 1.6</t>
  </si>
  <si>
    <t>Costos indirectos de proyecto- 6%</t>
  </si>
  <si>
    <t>EDT 1.4</t>
  </si>
  <si>
    <t>Administración y generales- 12%</t>
  </si>
  <si>
    <t>EDT 1.7</t>
  </si>
  <si>
    <t>Imprevistos / refinamiento- 5%</t>
  </si>
  <si>
    <t>Subtotal Mano de obra</t>
  </si>
  <si>
    <t>Utilidad integrador-10%</t>
  </si>
  <si>
    <t>6. Servicios públicos y SST</t>
  </si>
  <si>
    <t>Consumo eléctrico montaje (3.500 kWh)</t>
  </si>
  <si>
    <t>Tarifa industrial Enel</t>
  </si>
  <si>
    <t xml:space="preserve">Total </t>
  </si>
  <si>
    <t>Agua, limpieza y disposición</t>
  </si>
  <si>
    <t>Estimación de ejecución</t>
  </si>
  <si>
    <t>Internet / red temporal</t>
  </si>
  <si>
    <t>Conexión de proyecto</t>
  </si>
  <si>
    <t>Total linea 2</t>
  </si>
  <si>
    <t>SST, permisos, señalización y EPP</t>
  </si>
  <si>
    <t>Seguridad y normativa</t>
  </si>
  <si>
    <t>Subtotal Servicios públicos y SST</t>
  </si>
  <si>
    <t>7. Costos indirectos y administrativos</t>
  </si>
  <si>
    <t>Gestión, ingeniería, QA</t>
  </si>
  <si>
    <t>Oficinas, soporte, logística</t>
  </si>
  <si>
    <t>Incertidumbres, eventos adversos</t>
  </si>
  <si>
    <t>Margen comercial</t>
  </si>
  <si>
    <t>Total presupuesto base</t>
  </si>
  <si>
    <t>COP, sin IVA</t>
  </si>
  <si>
    <t>Total linea 3</t>
  </si>
  <si>
    <t>El presente presupuesto del proyecto de automatización se elaboró siguiendo un enfoque de estimación ascendente por paquetes de trabajo (EDT), con la lógica de una empresa integradora. Se descompuso el alcance en equipos mecánicos y celda de paletizado, control y seguridad, eléctrico/neumático, software, pruebas y logística, consolidando los costos hacia arriba para obtener subtotales por categoría. Posteriormente se separaron los costos directos (equipos, software, pruebas, consumibles, mano de obra y servicios públicos) y se sumaron los indirectos, imprevistos y la utilidad del integrador. Los costos directos ascienden a 763.922.450 COP, incluyendo mano de obra directa calculada con base en horas estimadas por estudiante y por disciplina (Ingeniería Industrial, Automatización, PLC, Simulación y SCADA), tomando referencias de tarifas promedio de mercado para proyectos de ingeniería industrial y automatización en Colombia.                        
Sobre los costos directos se aplican costos indirectos y administrativos, que representan la gestión integral del proyecto, administración, imprevistos y la utilidad del integrador. Estos se calcularon aplicando porcentajes estándar sobre la suma de los costos directos: costos indirectos de proyecto 6% (45.835.347 COP), administración y generales 12% (91.670.694 COP), imprevistos/refinamiento 5% (38.196.123 COP) y utilidad integrador 10% (76.392.245 COP). Se consideró que los imprevistos incluyen incertidumbres inherentes a sistemas industriales, posibles ajustes de integración y refinamiento de costos ascendentes. La aplicación de estos porcentajes sigue normas internacionales de gestión de proyectos (PMBOK® Guide – Seventh Edition) y estándares de seguridad funcional (ISO 13849, ISA-95).                        
El presupuesto total base asciende a 1.016.016.859 COP, sin incluir IVA, garantizando la cobertura completa del proyecto. Para la estimación se consideraron precios de mercado actualizados de sistemas de paletizado (ABB IRB 460, 110 kg carga, 2,4 m alcance), conversión de monedas según TRM COP/USD 3.704,87 y EUR/COP 4.309,87 (23-mar-2026), tarifas eléctricas industriales Enel, y referencias de proveedores de PLC, HMI, sensores y software. La planificación excluye la construcción de nuevas líneas de llenado/seamer, enfocándose en la automatización del paletizado, integración de control/OEE-MES lite y ajustes mecánicos del dry-end, manteniendo el resto de la línea existente. Por línea y solo considerando equipos, software y pruebas, el subtotal asciende a 746.700.000 COP, reflejando la inversión directa necesaria para la implementación técnica del proyecto.</t>
  </si>
  <si>
    <t>Total</t>
  </si>
  <si>
    <t>Bibliografia :</t>
  </si>
  <si>
    <t>ABB Robotics. (2026).
IRB 460 Robot Specifications and Applications. ABB Group.
Standardbots.com. (2026).
Industrial Robot Specifications and Palletizing Systems. Standardbots.
Automation24. (2026).
Siemens PLC, HMI, ET200SP, Pilz Safety Components Prices. Automation24.
Enel Colombia. (2026).
Tarifas eléctricas industriales no residenciales. Enel Colombia.
Project Management Institute. (2021).
A guide to the project management body of knowledge (PMBOK® guide) (7th ed.). Project Management Institute.
Computrabajo Colombia / Portales de empleo. (2026).
Salarios referenciales para ingenieros y técnicos en automatización, electricidad y mecánica. Computrabajo.
DolarHoy / Mercado financiero. (2026, 23 de marzo).
TRM COP/USD y EUR/COP. DolarHoy.
Datos internos de ingeniería de proyectos (empresa integradora). (2026).
Estimaciones de horas y costos de montaje.
Groover, M. P. (2020).
Automation, production systems, and computer-integrated manufacturing (4th ed.). Pearson.
Departamento Administrativo Nacional de Estadística. (2023).
Mercado laboral y salarios en Colombia.
https://www.dane.gov.co
Consejo Profesional Nacional de Ingeniería. (2023).
Lineamientos para el ejercicio profesional de la ingeniería en Colombia.
https://www.copnia.gov.co
Project Management Institute. (2024).
Standards and guides for project management.
https://www.pmi.org
International Society of Automation. (2019).
ISA-95: Enterprise-control system integration. ISA.</t>
  </si>
  <si>
    <t>Demanda Estimada</t>
  </si>
  <si>
    <t>Indicador Consumo agua</t>
  </si>
  <si>
    <t>Coversiones</t>
  </si>
  <si>
    <t>Producto</t>
  </si>
  <si>
    <t>Unidades/año</t>
  </si>
  <si>
    <t>Contenido (L) /Unidad</t>
  </si>
  <si>
    <t>Contenido Azucar (g) /Unidad</t>
  </si>
  <si>
    <t>Semanal</t>
  </si>
  <si>
    <t>1,38-1,41</t>
  </si>
  <si>
    <t>Monster</t>
  </si>
  <si>
    <t>Mensual</t>
  </si>
  <si>
    <t>Litros</t>
  </si>
  <si>
    <t>m3</t>
  </si>
  <si>
    <t>Brisa Garrafon 5Gl</t>
  </si>
  <si>
    <t>Informe KOF 2024</t>
  </si>
  <si>
    <t>Quatro 1.5L</t>
  </si>
  <si>
    <t>Materias Primas</t>
  </si>
  <si>
    <t>Precios Insumos Industriales</t>
  </si>
  <si>
    <t>Productos</t>
  </si>
  <si>
    <t>Brisa</t>
  </si>
  <si>
    <t>Quatro</t>
  </si>
  <si>
    <t>Agua fijo (COP/mes)</t>
  </si>
  <si>
    <t>Agua</t>
  </si>
  <si>
    <t>Valores Actuales Estandar</t>
  </si>
  <si>
    <t>Agua consumo (COP/m3)</t>
  </si>
  <si>
    <t>Azucar</t>
  </si>
  <si>
    <t>Precio Sugerido</t>
  </si>
  <si>
    <t>Precio Directo</t>
  </si>
  <si>
    <t>Costo Produccion</t>
  </si>
  <si>
    <t>Azucar refinada DANE (COP/Kg)</t>
  </si>
  <si>
    <t>Envase</t>
  </si>
  <si>
    <t>Monster 473 ml</t>
  </si>
  <si>
    <t>Otros</t>
  </si>
  <si>
    <t>Mano de obra</t>
  </si>
  <si>
    <t>Directa</t>
  </si>
  <si>
    <t>Indirecta</t>
  </si>
  <si>
    <t>Servicios</t>
  </si>
  <si>
    <t>Margen Bruto</t>
  </si>
  <si>
    <t>Luz</t>
  </si>
  <si>
    <t>Margen Neto</t>
  </si>
  <si>
    <t>Gas</t>
  </si>
  <si>
    <t>Informacion Nutriconal Monster 473 ml</t>
  </si>
  <si>
    <t>Tamaño de procion</t>
  </si>
  <si>
    <t>vaso (200 ml)</t>
  </si>
  <si>
    <t>Porciones por Envase aprox.</t>
  </si>
  <si>
    <t>Calorias (kcal)</t>
  </si>
  <si>
    <t>Por 100 ml</t>
  </si>
  <si>
    <t>Por porcion</t>
  </si>
  <si>
    <t>Carbohidratos totales (g)</t>
  </si>
  <si>
    <t>Azucares totales (g)</t>
  </si>
  <si>
    <t>Azucares añadidos (g)</t>
  </si>
  <si>
    <t>Riboflavina (mg)</t>
  </si>
  <si>
    <t>Niacina (mg)</t>
  </si>
  <si>
    <t>Vitamina B6 (mg)</t>
  </si>
  <si>
    <t>Vitamina B12 (ug)</t>
  </si>
  <si>
    <t>Informacion Nutriconal Quatro 1,5L</t>
  </si>
  <si>
    <t>Grasa Total (g)</t>
  </si>
  <si>
    <t>Grasa trans (mg)</t>
  </si>
  <si>
    <t>Proteina (g)</t>
  </si>
  <si>
    <t>Sodio (mg)</t>
  </si>
  <si>
    <t>Linea Monster 473 ml</t>
  </si>
  <si>
    <t>Linea Quatro 1.5L</t>
  </si>
  <si>
    <t>Linea Brissa 5Gl</t>
  </si>
  <si>
    <t>Año</t>
  </si>
  <si>
    <t>Ingresos</t>
  </si>
  <si>
    <t>Costo fabriacacion</t>
  </si>
  <si>
    <t>Utilidad Bruta</t>
  </si>
  <si>
    <t>Inversiones</t>
  </si>
  <si>
    <t>Costos Operativos</t>
  </si>
  <si>
    <t>Costos mantenimiento</t>
  </si>
  <si>
    <t>EBITDA</t>
  </si>
  <si>
    <t>Flujo Neto</t>
  </si>
  <si>
    <r>
      <rPr/>
      <t xml:space="preserve">Monster Green 473ml 4 Pack. (2026).
https://www.entuhogar.coca-cola.com.co/monster-green-473ml-4-pack
Gaseosa Quatro Original 1.5 L 2 Unidades (2026).
https://www.entuhogar.coca-cola.com.co/gaseosa-quatro-original-1-5-l-2-unidades
Agua Brisa Sin Gas Botellón 5 GL 1 Unidad
</t>
    </r>
    <r>
      <rPr>
        <color rgb="FF1155CC"/>
        <u/>
      </rPr>
      <t>https://www.entuhogar.coca-cola.com.co/agua-brisa-sin-gas-botellon-5-gl-1-unidad</t>
    </r>
    <r>
      <rPr/>
      <t xml:space="preserve">
Informe Integrado KOF II 2024. (2025).
</t>
    </r>
    <r>
      <rPr>
        <color rgb="FF1155CC"/>
        <u/>
      </rPr>
      <t>https://investors.coca-colafemsa.com/assets/files/reportes_resultados_esp/2024/informe-integrado-kof-ii-2024-esp.pdf</t>
    </r>
    <r>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</si>
</sst>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0"/>
    <numFmt numFmtId="165" formatCode="#,##0.00&quot;€&quot;"/>
    <numFmt numFmtId="166" formatCode="d.m"/>
    <numFmt numFmtId="167" formatCode="[$ $]#,##0.00"/>
  </numFmts>
  <fonts count="13">
    <font>
      <sz val="10.0"/>
      <color rgb="FF000000"/>
      <name val="Arial"/>
      <scheme val="minor"/>
    </font>
    <font>
      <b/>
      <color theme="1"/>
      <name val="Times New Roman"/>
    </font>
    <font/>
    <font>
      <b/>
      <color theme="1"/>
      <name val="Arial"/>
      <scheme val="minor"/>
    </font>
    <font>
      <color theme="1"/>
      <name val="Arial"/>
      <scheme val="minor"/>
    </font>
    <font>
      <b/>
      <sz val="12.0"/>
      <color rgb="FF1A3B5D"/>
      <name val="Times New Roman"/>
    </font>
    <font>
      <color theme="1"/>
      <name val="Times New Roman"/>
    </font>
    <font>
      <b/>
      <sz val="10.0"/>
      <color theme="1"/>
      <name val="Times New Roman"/>
    </font>
    <font>
      <sz val="10.0"/>
      <color theme="1"/>
      <name val="Times New Roman"/>
    </font>
    <font>
      <sz val="11.0"/>
      <color theme="1"/>
      <name val="Arial"/>
      <scheme val="minor"/>
    </font>
    <font>
      <color theme="1"/>
      <name val="Arial"/>
    </font>
    <font>
      <sz val="10.0"/>
      <color theme="1"/>
      <name val="Arial"/>
      <scheme val="minor"/>
    </font>
    <font>
      <u/>
      <color rgb="FF0000FF"/>
    </font>
  </fonts>
  <fills count="4">
    <fill>
      <patternFill patternType="none"/>
    </fill>
    <fill>
      <patternFill patternType="lightGray"/>
    </fill>
    <fill>
      <patternFill patternType="solid">
        <fgColor rgb="FFCFE2F3"/>
        <bgColor rgb="FFCFE2F3"/>
      </patternFill>
    </fill>
    <fill>
      <patternFill patternType="solid">
        <fgColor rgb="FFD9D2E9"/>
        <bgColor rgb="FFD9D2E9"/>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1" fillId="0" fontId="1" numFmtId="0" xfId="0" applyAlignment="1" applyBorder="1" applyFont="1">
      <alignment horizontal="center" readingOrder="0" shrinkToFit="0" vertical="center" wrapText="1"/>
    </xf>
    <xf borderId="0" fillId="0" fontId="3" numFmtId="0" xfId="0" applyAlignment="1" applyFont="1">
      <alignment horizontal="center" readingOrder="0"/>
    </xf>
    <xf borderId="4" fillId="0" fontId="3" numFmtId="0" xfId="0" applyAlignment="1" applyBorder="1" applyFont="1">
      <alignment horizontal="center" readingOrder="0"/>
    </xf>
    <xf borderId="4" fillId="0" fontId="4" numFmtId="0" xfId="0" applyAlignment="1" applyBorder="1" applyFont="1">
      <alignment readingOrder="0" shrinkToFit="0" wrapText="1"/>
    </xf>
    <xf borderId="4" fillId="0" fontId="4" numFmtId="3" xfId="0" applyAlignment="1" applyBorder="1" applyFont="1" applyNumberFormat="1">
      <alignment readingOrder="0" shrinkToFit="0" wrapText="1"/>
    </xf>
    <xf borderId="4" fillId="0" fontId="3" numFmtId="0" xfId="0" applyAlignment="1" applyBorder="1" applyFont="1">
      <alignment horizontal="center" readingOrder="0" shrinkToFit="0" wrapText="1"/>
    </xf>
    <xf borderId="0" fillId="0" fontId="4" numFmtId="0" xfId="0" applyAlignment="1" applyFont="1">
      <alignment readingOrder="0"/>
    </xf>
    <xf borderId="4" fillId="0" fontId="1" numFmtId="0" xfId="0" applyAlignment="1" applyBorder="1" applyFont="1">
      <alignment horizontal="center" readingOrder="0" shrinkToFit="0" vertical="center" wrapText="1"/>
    </xf>
    <xf borderId="0" fillId="0" fontId="5" numFmtId="0" xfId="0" applyAlignment="1" applyFont="1">
      <alignment horizontal="center" readingOrder="0"/>
    </xf>
    <xf borderId="4" fillId="2" fontId="4" numFmtId="0" xfId="0" applyAlignment="1" applyBorder="1" applyFill="1" applyFont="1">
      <alignment readingOrder="0"/>
    </xf>
    <xf borderId="4" fillId="0" fontId="4" numFmtId="0" xfId="0" applyAlignment="1" applyBorder="1" applyFont="1">
      <alignment readingOrder="0"/>
    </xf>
    <xf borderId="4" fillId="0" fontId="4" numFmtId="3" xfId="0" applyAlignment="1" applyBorder="1" applyFont="1" applyNumberFormat="1">
      <alignment readingOrder="0"/>
    </xf>
    <xf borderId="4" fillId="0" fontId="6" numFmtId="0" xfId="0" applyAlignment="1" applyBorder="1" applyFont="1">
      <alignment horizontal="left" readingOrder="0" shrinkToFit="0" vertical="center" wrapText="1"/>
    </xf>
    <xf borderId="4" fillId="0" fontId="6" numFmtId="164"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4" numFmtId="0" xfId="0" applyBorder="1" applyFont="1"/>
    <xf borderId="4" fillId="2" fontId="4" numFmtId="0" xfId="0" applyAlignment="1" applyBorder="1" applyFont="1">
      <alignment readingOrder="0" shrinkToFit="0" wrapText="1"/>
    </xf>
    <xf borderId="4" fillId="2" fontId="4" numFmtId="0" xfId="0" applyAlignment="1" applyBorder="1" applyFont="1">
      <alignment shrinkToFit="0" wrapText="1"/>
    </xf>
    <xf borderId="4" fillId="2" fontId="4" numFmtId="3" xfId="0" applyAlignment="1" applyBorder="1" applyFont="1" applyNumberFormat="1">
      <alignment readingOrder="0" shrinkToFit="0" wrapText="1"/>
    </xf>
    <xf borderId="0" fillId="0" fontId="4" numFmtId="0" xfId="0" applyAlignment="1" applyFont="1">
      <alignment readingOrder="0" shrinkToFit="0" wrapText="1"/>
    </xf>
    <xf borderId="4" fillId="3" fontId="4" numFmtId="0" xfId="0" applyAlignment="1" applyBorder="1" applyFill="1" applyFont="1">
      <alignment readingOrder="0" shrinkToFit="0" wrapText="1"/>
    </xf>
    <xf borderId="4" fillId="3" fontId="4" numFmtId="0" xfId="0" applyAlignment="1" applyBorder="1" applyFont="1">
      <alignment shrinkToFit="0" wrapText="1"/>
    </xf>
    <xf borderId="4" fillId="3" fontId="4" numFmtId="3" xfId="0" applyAlignment="1" applyBorder="1" applyFont="1" applyNumberFormat="1">
      <alignment readingOrder="0" shrinkToFit="0" wrapText="1"/>
    </xf>
    <xf borderId="4" fillId="2" fontId="4" numFmtId="0" xfId="0" applyBorder="1" applyFont="1"/>
    <xf borderId="4" fillId="2" fontId="4" numFmtId="3" xfId="0" applyAlignment="1" applyBorder="1" applyFont="1" applyNumberFormat="1">
      <alignment readingOrder="0"/>
    </xf>
    <xf borderId="1" fillId="0"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4" numFmtId="165" xfId="0" applyAlignment="1" applyBorder="1" applyFont="1" applyNumberFormat="1">
      <alignment horizontal="left" readingOrder="0" shrinkToFit="0" wrapText="1"/>
    </xf>
    <xf borderId="4" fillId="0" fontId="8" numFmtId="166" xfId="0" applyAlignment="1" applyBorder="1" applyFont="1" applyNumberFormat="1">
      <alignment horizontal="center" readingOrder="0" shrinkToFit="0" vertical="center" wrapText="1"/>
    </xf>
    <xf borderId="1" fillId="0" fontId="8" numFmtId="0" xfId="0" applyAlignment="1" applyBorder="1" applyFont="1">
      <alignment horizontal="left" readingOrder="0" shrinkToFit="0" vertical="center" wrapText="1"/>
    </xf>
    <xf borderId="4" fillId="0" fontId="8" numFmtId="0" xfId="0" applyAlignment="1" applyBorder="1" applyFont="1">
      <alignment horizontal="left" readingOrder="0" shrinkToFit="0" vertical="center" wrapText="1"/>
    </xf>
    <xf borderId="4" fillId="0" fontId="8" numFmtId="0" xfId="0" applyAlignment="1" applyBorder="1" applyFont="1">
      <alignment horizontal="center" readingOrder="0" shrinkToFit="0" vertical="center" wrapText="1"/>
    </xf>
    <xf borderId="4" fillId="0" fontId="8" numFmtId="3" xfId="0" applyAlignment="1" applyBorder="1" applyFont="1" applyNumberFormat="1">
      <alignment horizontal="center" readingOrder="0" shrinkToFit="0" vertical="center" wrapText="1"/>
    </xf>
    <xf borderId="4" fillId="0" fontId="4" numFmtId="0" xfId="0" applyBorder="1" applyFont="1"/>
    <xf borderId="4" fillId="0" fontId="4" numFmtId="0" xfId="0" applyAlignment="1" applyBorder="1" applyFont="1">
      <alignment shrinkToFit="0" wrapText="1"/>
    </xf>
    <xf borderId="0" fillId="0" fontId="4" numFmtId="0" xfId="0" applyAlignment="1" applyFont="1">
      <alignment horizontal="center" shrinkToFit="0" vertical="center" wrapText="1"/>
    </xf>
    <xf borderId="4" fillId="0" fontId="8" numFmtId="164" xfId="0" applyAlignment="1" applyBorder="1" applyFont="1" applyNumberFormat="1">
      <alignment horizontal="center" readingOrder="0" shrinkToFit="0" vertical="center" wrapText="1"/>
    </xf>
    <xf borderId="1" fillId="0" fontId="6" numFmtId="0" xfId="0" applyAlignment="1" applyBorder="1" applyFont="1">
      <alignment horizontal="left" readingOrder="0" shrinkToFit="0" vertical="center" wrapText="1"/>
    </xf>
    <xf borderId="4" fillId="0" fontId="6" numFmtId="0" xfId="0" applyAlignment="1" applyBorder="1" applyFont="1">
      <alignment horizontal="center" shrinkToFit="0" vertical="center" wrapText="1"/>
    </xf>
    <xf borderId="0" fillId="0" fontId="4" numFmtId="0" xfId="0" applyAlignment="1" applyFont="1">
      <alignment shrinkToFit="0" wrapText="1"/>
    </xf>
    <xf borderId="4" fillId="0" fontId="4" numFmtId="3" xfId="0" applyBorder="1" applyFont="1" applyNumberFormat="1"/>
    <xf borderId="4" fillId="0" fontId="4" numFmtId="9" xfId="0" applyBorder="1" applyFont="1" applyNumberFormat="1"/>
    <xf borderId="0" fillId="0" fontId="9" numFmtId="0" xfId="0" applyAlignment="1" applyFont="1">
      <alignment readingOrder="0" shrinkToFit="0" wrapText="1"/>
    </xf>
    <xf borderId="4" fillId="0" fontId="4" numFmtId="0" xfId="0" applyAlignment="1" applyBorder="1" applyFont="1">
      <alignment readingOrder="0" vertical="center"/>
    </xf>
    <xf borderId="1" fillId="0" fontId="4" numFmtId="0" xfId="0" applyAlignment="1" applyBorder="1" applyFont="1">
      <alignment readingOrder="0"/>
    </xf>
    <xf borderId="1" fillId="0" fontId="1" numFmtId="0" xfId="0" applyAlignment="1" applyBorder="1" applyFont="1">
      <alignment horizontal="center" readingOrder="0"/>
    </xf>
    <xf borderId="4" fillId="0" fontId="1" numFmtId="0" xfId="0" applyAlignment="1" applyBorder="1" applyFont="1">
      <alignment horizontal="center" readingOrder="0"/>
    </xf>
    <xf borderId="4" fillId="0" fontId="1" numFmtId="0" xfId="0" applyAlignment="1" applyBorder="1" applyFont="1">
      <alignment readingOrder="0"/>
    </xf>
    <xf borderId="4" fillId="0" fontId="6" numFmtId="0" xfId="0" applyAlignment="1" applyBorder="1" applyFont="1">
      <alignment readingOrder="0"/>
    </xf>
    <xf borderId="5" fillId="0" fontId="4" numFmtId="0" xfId="0" applyAlignment="1" applyBorder="1" applyFont="1">
      <alignment readingOrder="0"/>
    </xf>
    <xf borderId="6" fillId="0" fontId="4" numFmtId="0" xfId="0" applyAlignment="1" applyBorder="1" applyFont="1">
      <alignment readingOrder="0"/>
    </xf>
    <xf borderId="4" fillId="0" fontId="4" numFmtId="167" xfId="0" applyAlignment="1" applyBorder="1" applyFont="1" applyNumberFormat="1">
      <alignment readingOrder="0"/>
    </xf>
    <xf borderId="4" fillId="0" fontId="4" numFmtId="167" xfId="0" applyBorder="1" applyFont="1" applyNumberFormat="1"/>
    <xf borderId="4" fillId="0" fontId="4" numFmtId="164" xfId="0" applyAlignment="1" applyBorder="1" applyFont="1" applyNumberFormat="1">
      <alignment readingOrder="0"/>
    </xf>
    <xf borderId="4" fillId="0" fontId="4" numFmtId="164" xfId="0" applyBorder="1" applyFont="1" applyNumberFormat="1"/>
    <xf borderId="4" fillId="0" fontId="10" numFmtId="0" xfId="0" applyAlignment="1" applyBorder="1" applyFont="1">
      <alignment readingOrder="0"/>
    </xf>
    <xf borderId="4" fillId="0" fontId="6" numFmtId="0" xfId="0" applyBorder="1" applyFont="1"/>
    <xf borderId="4" fillId="0" fontId="10" numFmtId="167" xfId="0" applyBorder="1" applyFont="1" applyNumberFormat="1"/>
    <xf borderId="4" fillId="0" fontId="4" numFmtId="9" xfId="0" applyAlignment="1" applyBorder="1" applyFont="1" applyNumberFormat="1">
      <alignment readingOrder="0"/>
    </xf>
    <xf borderId="4" fillId="0" fontId="10" numFmtId="0" xfId="0" applyBorder="1" applyFont="1"/>
    <xf borderId="4" fillId="0" fontId="4" numFmtId="10" xfId="0" applyAlignment="1" applyBorder="1" applyFont="1" applyNumberFormat="1">
      <alignment readingOrder="0"/>
    </xf>
    <xf borderId="1" fillId="0" fontId="6" numFmtId="0" xfId="0" applyAlignment="1" applyBorder="1" applyFont="1">
      <alignment readingOrder="0"/>
    </xf>
    <xf borderId="3" fillId="0" fontId="6" numFmtId="0" xfId="0" applyAlignment="1" applyBorder="1" applyFont="1">
      <alignment readingOrder="0"/>
    </xf>
    <xf borderId="7" fillId="0" fontId="4" numFmtId="0" xfId="0" applyAlignment="1" applyBorder="1" applyFont="1">
      <alignment readingOrder="0"/>
    </xf>
    <xf borderId="8" fillId="0" fontId="2" numFmtId="0" xfId="0" applyBorder="1" applyFont="1"/>
    <xf borderId="5" fillId="0" fontId="6" numFmtId="0" xfId="0" applyAlignment="1" applyBorder="1" applyFont="1">
      <alignment horizontal="center" readingOrder="0"/>
    </xf>
    <xf borderId="6" fillId="0" fontId="2" numFmtId="0" xfId="0" applyBorder="1" applyFont="1"/>
    <xf borderId="0" fillId="0" fontId="1" numFmtId="0" xfId="0" applyAlignment="1" applyFont="1">
      <alignment horizontal="center" readingOrder="0"/>
    </xf>
    <xf borderId="0" fillId="0" fontId="6" numFmtId="0" xfId="0" applyAlignment="1" applyFont="1">
      <alignment readingOrder="0"/>
    </xf>
    <xf borderId="0" fillId="0" fontId="1" numFmtId="0" xfId="0" applyAlignment="1" applyFont="1">
      <alignment readingOrder="0"/>
    </xf>
    <xf borderId="0" fillId="0" fontId="4" numFmtId="164" xfId="0" applyFont="1" applyNumberFormat="1"/>
    <xf borderId="0" fillId="0" fontId="4" numFmtId="0" xfId="0" applyAlignment="1" applyFont="1">
      <alignment horizontal="center" readingOrder="0"/>
    </xf>
    <xf borderId="4" fillId="0" fontId="7" numFmtId="0" xfId="0" applyAlignment="1" applyBorder="1" applyFont="1">
      <alignment horizontal="center" readingOrder="0"/>
    </xf>
    <xf borderId="6" fillId="0" fontId="7" numFmtId="0" xfId="0" applyAlignment="1" applyBorder="1" applyFont="1">
      <alignment horizontal="center" readingOrder="0"/>
    </xf>
    <xf borderId="1" fillId="0" fontId="7" numFmtId="0" xfId="0" applyAlignment="1" applyBorder="1" applyFont="1">
      <alignment horizontal="center" readingOrder="0"/>
    </xf>
    <xf borderId="4" fillId="0" fontId="11" numFmtId="0" xfId="0" applyAlignment="1" applyBorder="1" applyFont="1">
      <alignment readingOrder="0"/>
    </xf>
    <xf borderId="4" fillId="0" fontId="11" numFmtId="164" xfId="0" applyAlignment="1" applyBorder="1" applyFont="1" applyNumberFormat="1">
      <alignment readingOrder="0"/>
    </xf>
    <xf borderId="4" fillId="0" fontId="11" numFmtId="164" xfId="0" applyBorder="1" applyFont="1" applyNumberFormat="1"/>
    <xf borderId="4" fillId="0" fontId="11" numFmtId="167" xfId="0" applyAlignment="1" applyBorder="1" applyFont="1" applyNumberFormat="1">
      <alignment readingOrder="0"/>
    </xf>
    <xf borderId="0" fillId="0" fontId="4" numFmtId="10" xfId="0" applyAlignment="1" applyFont="1" applyNumberFormat="1">
      <alignment readingOrder="0"/>
    </xf>
    <xf borderId="1" fillId="0" fontId="1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ntuhogar.coca-cola.com.co/agua-brisa-sin-gas-botellon-5-gl-1-unidad"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75"/>
    <col customWidth="1" min="3" max="3" width="20.13"/>
    <col customWidth="1" min="4" max="4" width="22.13"/>
    <col customWidth="1" min="5" max="5" width="27.0"/>
    <col customWidth="1" min="6" max="6" width="24.38"/>
    <col customWidth="1" min="7" max="7" width="23.38"/>
    <col customWidth="1" min="8" max="8" width="18.75"/>
    <col customWidth="1" min="9" max="9" width="17.88"/>
    <col customWidth="1" min="12" max="12" width="41.5"/>
    <col customWidth="1" min="13" max="13" width="42.63"/>
    <col customWidth="1" min="16" max="16" width="21.5"/>
    <col customWidth="1" min="17" max="17" width="19.75"/>
    <col customWidth="1" min="18" max="18" width="39.13"/>
    <col customWidth="1" min="20" max="20" width="25.88"/>
    <col customWidth="1" min="21" max="21" width="29.63"/>
    <col customWidth="1" min="22" max="22" width="31.38"/>
    <col customWidth="1" min="23" max="23" width="7.0"/>
    <col customWidth="1" min="24" max="24" width="9.75"/>
    <col customWidth="1" min="25" max="25" width="17.0"/>
    <col customWidth="1" min="26" max="26" width="17.13"/>
    <col customWidth="1" min="27" max="27" width="26.13"/>
  </cols>
  <sheetData>
    <row r="1">
      <c r="L1" s="1" t="s">
        <v>0</v>
      </c>
      <c r="M1" s="2"/>
      <c r="N1" s="2"/>
      <c r="O1" s="2"/>
      <c r="P1" s="2"/>
      <c r="Q1" s="2"/>
      <c r="R1" s="3"/>
      <c r="T1" s="4" t="s">
        <v>1</v>
      </c>
      <c r="U1" s="2"/>
      <c r="V1" s="2"/>
      <c r="W1" s="2"/>
      <c r="X1" s="2"/>
      <c r="Y1" s="2"/>
      <c r="Z1" s="2"/>
      <c r="AA1" s="3"/>
      <c r="AB1" s="5"/>
      <c r="AC1" s="5"/>
    </row>
    <row r="2">
      <c r="B2" s="1" t="s">
        <v>2</v>
      </c>
      <c r="C2" s="2"/>
      <c r="D2" s="2"/>
      <c r="E2" s="2"/>
      <c r="F2" s="2"/>
      <c r="G2" s="2"/>
      <c r="H2" s="3"/>
      <c r="L2" s="6" t="s">
        <v>3</v>
      </c>
      <c r="M2" s="6" t="s">
        <v>4</v>
      </c>
      <c r="N2" s="6" t="s">
        <v>5</v>
      </c>
      <c r="O2" s="6" t="s">
        <v>6</v>
      </c>
      <c r="P2" s="6" t="s">
        <v>7</v>
      </c>
      <c r="Q2" s="6" t="s">
        <v>8</v>
      </c>
      <c r="R2" s="6" t="s">
        <v>9</v>
      </c>
      <c r="T2" s="7" t="s">
        <v>10</v>
      </c>
      <c r="U2" s="7" t="s">
        <v>3</v>
      </c>
      <c r="V2" s="7" t="s">
        <v>4</v>
      </c>
      <c r="W2" s="7" t="s">
        <v>5</v>
      </c>
      <c r="X2" s="8" t="s">
        <v>6</v>
      </c>
      <c r="Y2" s="8" t="s">
        <v>7</v>
      </c>
      <c r="Z2" s="7" t="s">
        <v>8</v>
      </c>
      <c r="AA2" s="9" t="s">
        <v>9</v>
      </c>
      <c r="AB2" s="10"/>
      <c r="AC2" s="10"/>
    </row>
    <row r="3">
      <c r="B3" s="11" t="s">
        <v>11</v>
      </c>
      <c r="C3" s="11" t="s">
        <v>12</v>
      </c>
      <c r="D3" s="11" t="s">
        <v>13</v>
      </c>
      <c r="E3" s="11" t="s">
        <v>14</v>
      </c>
      <c r="F3" s="11" t="s">
        <v>15</v>
      </c>
      <c r="G3" s="11" t="s">
        <v>16</v>
      </c>
      <c r="H3" s="11" t="s">
        <v>17</v>
      </c>
      <c r="I3" s="12"/>
      <c r="L3" s="13" t="s">
        <v>18</v>
      </c>
      <c r="M3" s="14" t="s">
        <v>19</v>
      </c>
      <c r="N3" s="14">
        <v>1.0</v>
      </c>
      <c r="O3" s="14" t="s">
        <v>20</v>
      </c>
      <c r="P3" s="15">
        <v>3.52E8</v>
      </c>
      <c r="Q3" s="15">
        <f t="shared" ref="Q3:Q10" si="1">N3*P3</f>
        <v>352000000</v>
      </c>
      <c r="R3" s="7" t="s">
        <v>21</v>
      </c>
      <c r="T3" s="13" t="s">
        <v>22</v>
      </c>
      <c r="U3" s="7" t="s">
        <v>23</v>
      </c>
      <c r="V3" s="7" t="s">
        <v>24</v>
      </c>
      <c r="W3" s="7">
        <v>1.0</v>
      </c>
      <c r="X3" s="8" t="s">
        <v>20</v>
      </c>
      <c r="Y3" s="8">
        <v>1900000.0</v>
      </c>
      <c r="Z3" s="8">
        <v>1900000.0</v>
      </c>
      <c r="AA3" s="7" t="s">
        <v>25</v>
      </c>
      <c r="AB3" s="10"/>
      <c r="AC3" s="10"/>
    </row>
    <row r="4">
      <c r="B4" s="16" t="s">
        <v>26</v>
      </c>
      <c r="C4" s="16" t="s">
        <v>27</v>
      </c>
      <c r="D4" s="17">
        <v>2000000.0</v>
      </c>
      <c r="E4" s="18">
        <v>176.0</v>
      </c>
      <c r="F4" s="17">
        <f t="shared" ref="F4:F8" si="2">D4/E4</f>
        <v>11363.63636</v>
      </c>
      <c r="G4" s="18">
        <v>1.5</v>
      </c>
      <c r="H4" s="17">
        <f t="shared" ref="H4:H8" si="3">G4*F4</f>
        <v>17045.45455</v>
      </c>
      <c r="L4" s="19"/>
      <c r="M4" s="14" t="s">
        <v>28</v>
      </c>
      <c r="N4" s="14">
        <v>1.0</v>
      </c>
      <c r="O4" s="14" t="s">
        <v>20</v>
      </c>
      <c r="P4" s="15">
        <v>4.45E7</v>
      </c>
      <c r="Q4" s="15">
        <f t="shared" si="1"/>
        <v>44500000</v>
      </c>
      <c r="R4" s="7" t="s">
        <v>29</v>
      </c>
      <c r="T4" s="7"/>
      <c r="U4" s="7" t="s">
        <v>23</v>
      </c>
      <c r="V4" s="7" t="s">
        <v>30</v>
      </c>
      <c r="W4" s="7">
        <v>1.0</v>
      </c>
      <c r="X4" s="8" t="s">
        <v>20</v>
      </c>
      <c r="Y4" s="8">
        <v>3500000.0</v>
      </c>
      <c r="Z4" s="8">
        <v>3500000.0</v>
      </c>
      <c r="AA4" s="7" t="s">
        <v>31</v>
      </c>
      <c r="AB4" s="10"/>
      <c r="AC4" s="10"/>
    </row>
    <row r="5">
      <c r="B5" s="16" t="s">
        <v>32</v>
      </c>
      <c r="C5" s="16" t="s">
        <v>33</v>
      </c>
      <c r="D5" s="17">
        <v>2200000.0</v>
      </c>
      <c r="E5" s="18">
        <v>176.0</v>
      </c>
      <c r="F5" s="17">
        <f t="shared" si="2"/>
        <v>12500</v>
      </c>
      <c r="G5" s="18">
        <v>1.5</v>
      </c>
      <c r="H5" s="17">
        <f t="shared" si="3"/>
        <v>18750</v>
      </c>
      <c r="L5" s="19"/>
      <c r="M5" s="14" t="s">
        <v>34</v>
      </c>
      <c r="N5" s="14">
        <v>1.0</v>
      </c>
      <c r="O5" s="14" t="s">
        <v>20</v>
      </c>
      <c r="P5" s="15">
        <v>1.85E7</v>
      </c>
      <c r="Q5" s="15">
        <f t="shared" si="1"/>
        <v>18500000</v>
      </c>
      <c r="R5" s="7" t="s">
        <v>35</v>
      </c>
      <c r="T5" s="7"/>
      <c r="U5" s="7" t="s">
        <v>23</v>
      </c>
      <c r="V5" s="7" t="s">
        <v>36</v>
      </c>
      <c r="W5" s="7">
        <v>1.0</v>
      </c>
      <c r="X5" s="8" t="s">
        <v>20</v>
      </c>
      <c r="Y5" s="8">
        <v>1.8E7</v>
      </c>
      <c r="Z5" s="8">
        <v>1.8E7</v>
      </c>
      <c r="AA5" s="7" t="s">
        <v>37</v>
      </c>
      <c r="AB5" s="10"/>
      <c r="AC5" s="10"/>
    </row>
    <row r="6">
      <c r="B6" s="16" t="s">
        <v>38</v>
      </c>
      <c r="C6" s="16" t="s">
        <v>39</v>
      </c>
      <c r="D6" s="17">
        <v>2200000.0</v>
      </c>
      <c r="E6" s="18">
        <v>176.0</v>
      </c>
      <c r="F6" s="17">
        <f t="shared" si="2"/>
        <v>12500</v>
      </c>
      <c r="G6" s="18">
        <v>1.5</v>
      </c>
      <c r="H6" s="17">
        <f t="shared" si="3"/>
        <v>18750</v>
      </c>
      <c r="L6" s="19"/>
      <c r="M6" s="14" t="s">
        <v>40</v>
      </c>
      <c r="N6" s="14">
        <v>1.0</v>
      </c>
      <c r="O6" s="14" t="s">
        <v>20</v>
      </c>
      <c r="P6" s="15">
        <v>2.78E7</v>
      </c>
      <c r="Q6" s="15">
        <f t="shared" si="1"/>
        <v>27800000</v>
      </c>
      <c r="R6" s="7" t="s">
        <v>41</v>
      </c>
      <c r="T6" s="7"/>
      <c r="U6" s="7" t="s">
        <v>23</v>
      </c>
      <c r="V6" s="7" t="s">
        <v>42</v>
      </c>
      <c r="W6" s="7">
        <v>5.0</v>
      </c>
      <c r="X6" s="7" t="s">
        <v>20</v>
      </c>
      <c r="Y6" s="8">
        <v>1000000.0</v>
      </c>
      <c r="Z6" s="8">
        <v>5000000.0</v>
      </c>
      <c r="AA6" s="7" t="s">
        <v>43</v>
      </c>
      <c r="AB6" s="10"/>
      <c r="AC6" s="10"/>
    </row>
    <row r="7">
      <c r="B7" s="16" t="s">
        <v>44</v>
      </c>
      <c r="C7" s="16" t="s">
        <v>45</v>
      </c>
      <c r="D7" s="17">
        <v>2100000.0</v>
      </c>
      <c r="E7" s="18">
        <v>176.0</v>
      </c>
      <c r="F7" s="17">
        <f t="shared" si="2"/>
        <v>11931.81818</v>
      </c>
      <c r="G7" s="18">
        <v>1.5</v>
      </c>
      <c r="H7" s="17">
        <f t="shared" si="3"/>
        <v>17897.72727</v>
      </c>
      <c r="L7" s="19"/>
      <c r="M7" s="14" t="s">
        <v>46</v>
      </c>
      <c r="N7" s="14">
        <v>1.0</v>
      </c>
      <c r="O7" s="14" t="s">
        <v>20</v>
      </c>
      <c r="P7" s="15">
        <v>7.8E7</v>
      </c>
      <c r="Q7" s="15">
        <f t="shared" si="1"/>
        <v>78000000</v>
      </c>
      <c r="R7" s="7" t="s">
        <v>47</v>
      </c>
      <c r="T7" s="20"/>
      <c r="U7" s="20" t="s">
        <v>48</v>
      </c>
      <c r="V7" s="21"/>
      <c r="W7" s="21"/>
      <c r="X7" s="22"/>
      <c r="Y7" s="22"/>
      <c r="Z7" s="22">
        <v>2.84E7</v>
      </c>
      <c r="AA7" s="21"/>
      <c r="AC7" s="10"/>
    </row>
    <row r="8">
      <c r="B8" s="16" t="s">
        <v>49</v>
      </c>
      <c r="C8" s="16" t="s">
        <v>50</v>
      </c>
      <c r="D8" s="17">
        <v>2200000.0</v>
      </c>
      <c r="E8" s="18">
        <v>176.0</v>
      </c>
      <c r="F8" s="17">
        <f t="shared" si="2"/>
        <v>12500</v>
      </c>
      <c r="G8" s="18">
        <v>1.5</v>
      </c>
      <c r="H8" s="17">
        <f t="shared" si="3"/>
        <v>18750</v>
      </c>
      <c r="L8" s="19"/>
      <c r="M8" s="14" t="s">
        <v>51</v>
      </c>
      <c r="N8" s="14">
        <v>1.0</v>
      </c>
      <c r="O8" s="14" t="s">
        <v>20</v>
      </c>
      <c r="P8" s="15">
        <v>3.75E7</v>
      </c>
      <c r="Q8" s="15">
        <f t="shared" si="1"/>
        <v>37500000</v>
      </c>
      <c r="R8" s="7" t="s">
        <v>52</v>
      </c>
      <c r="T8" s="7"/>
      <c r="U8" s="7" t="s">
        <v>53</v>
      </c>
      <c r="V8" s="7" t="s">
        <v>54</v>
      </c>
      <c r="W8" s="7">
        <v>1.0</v>
      </c>
      <c r="X8" s="8" t="s">
        <v>20</v>
      </c>
      <c r="Y8" s="8">
        <v>3000000.0</v>
      </c>
      <c r="Z8" s="8">
        <v>3000000.0</v>
      </c>
      <c r="AA8" s="7" t="s">
        <v>55</v>
      </c>
      <c r="AB8" s="10"/>
      <c r="AC8" s="10"/>
    </row>
    <row r="9">
      <c r="L9" s="19"/>
      <c r="M9" s="14" t="s">
        <v>56</v>
      </c>
      <c r="N9" s="14">
        <v>1.0</v>
      </c>
      <c r="O9" s="14" t="s">
        <v>20</v>
      </c>
      <c r="P9" s="15">
        <v>2.2E7</v>
      </c>
      <c r="Q9" s="15">
        <f t="shared" si="1"/>
        <v>22000000</v>
      </c>
      <c r="R9" s="7" t="s">
        <v>57</v>
      </c>
      <c r="T9" s="20"/>
      <c r="U9" s="20" t="s">
        <v>58</v>
      </c>
      <c r="V9" s="21"/>
      <c r="W9" s="21"/>
      <c r="X9" s="22"/>
      <c r="Y9" s="22"/>
      <c r="Z9" s="22">
        <v>3000000.0</v>
      </c>
      <c r="AA9" s="21"/>
      <c r="AB9" s="10"/>
    </row>
    <row r="10">
      <c r="B10" s="23" t="s">
        <v>59</v>
      </c>
      <c r="L10" s="19"/>
      <c r="M10" s="14" t="s">
        <v>60</v>
      </c>
      <c r="N10" s="14">
        <v>1.0</v>
      </c>
      <c r="O10" s="14" t="s">
        <v>20</v>
      </c>
      <c r="P10" s="15">
        <v>1.2E7</v>
      </c>
      <c r="Q10" s="15">
        <f t="shared" si="1"/>
        <v>12000000</v>
      </c>
      <c r="R10" s="7" t="s">
        <v>61</v>
      </c>
      <c r="T10" s="24"/>
      <c r="U10" s="24" t="s">
        <v>62</v>
      </c>
      <c r="V10" s="25"/>
      <c r="W10" s="25"/>
      <c r="X10" s="26"/>
      <c r="Y10" s="26"/>
      <c r="Z10" s="26">
        <v>3.14E7</v>
      </c>
      <c r="AA10" s="25"/>
      <c r="AB10" s="10"/>
      <c r="AC10" s="5"/>
    </row>
    <row r="11">
      <c r="L11" s="13" t="s">
        <v>63</v>
      </c>
      <c r="M11" s="27"/>
      <c r="N11" s="27"/>
      <c r="O11" s="27"/>
      <c r="P11" s="27"/>
      <c r="Q11" s="28">
        <f>SUM(Q3:Q10)</f>
        <v>592300000</v>
      </c>
      <c r="R11" s="20"/>
      <c r="T11" s="13" t="s">
        <v>64</v>
      </c>
      <c r="U11" s="7" t="s">
        <v>65</v>
      </c>
      <c r="V11" s="7" t="s">
        <v>66</v>
      </c>
      <c r="W11" s="7">
        <v>1.0</v>
      </c>
      <c r="X11" s="8" t="s">
        <v>20</v>
      </c>
      <c r="Y11" s="8">
        <v>1.5E7</v>
      </c>
      <c r="Z11" s="8">
        <v>1.5E7</v>
      </c>
      <c r="AA11" s="7" t="s">
        <v>67</v>
      </c>
      <c r="AB11" s="10"/>
      <c r="AC11" s="10"/>
    </row>
    <row r="12">
      <c r="B12" s="29" t="s">
        <v>68</v>
      </c>
      <c r="C12" s="2"/>
      <c r="D12" s="2"/>
      <c r="E12" s="2"/>
      <c r="F12" s="2"/>
      <c r="G12" s="2"/>
      <c r="H12" s="3"/>
      <c r="L12" s="13" t="s">
        <v>69</v>
      </c>
      <c r="M12" s="14" t="s">
        <v>24</v>
      </c>
      <c r="N12" s="14">
        <v>1.0</v>
      </c>
      <c r="O12" s="14" t="s">
        <v>20</v>
      </c>
      <c r="P12" s="15">
        <v>1900000.0</v>
      </c>
      <c r="Q12" s="15">
        <f t="shared" ref="Q12:Q21" si="4">N12*P12</f>
        <v>1900000</v>
      </c>
      <c r="R12" s="7" t="s">
        <v>70</v>
      </c>
      <c r="T12" s="20"/>
      <c r="U12" s="20" t="s">
        <v>63</v>
      </c>
      <c r="V12" s="21"/>
      <c r="W12" s="21"/>
      <c r="X12" s="22"/>
      <c r="Y12" s="22"/>
      <c r="Z12" s="22">
        <v>1.5E7</v>
      </c>
      <c r="AA12" s="21"/>
      <c r="AC12" s="10"/>
    </row>
    <row r="13">
      <c r="B13" s="30" t="s">
        <v>71</v>
      </c>
      <c r="C13" s="29" t="s">
        <v>72</v>
      </c>
      <c r="D13" s="3"/>
      <c r="E13" s="30" t="s">
        <v>73</v>
      </c>
      <c r="F13" s="30" t="s">
        <v>74</v>
      </c>
      <c r="G13" s="30" t="s">
        <v>75</v>
      </c>
      <c r="H13" s="30" t="s">
        <v>76</v>
      </c>
      <c r="L13" s="19"/>
      <c r="M13" s="14" t="s">
        <v>30</v>
      </c>
      <c r="N13" s="14">
        <v>1.0</v>
      </c>
      <c r="O13" s="14" t="s">
        <v>20</v>
      </c>
      <c r="P13" s="15">
        <v>3500000.0</v>
      </c>
      <c r="Q13" s="15">
        <f t="shared" si="4"/>
        <v>3500000</v>
      </c>
      <c r="R13" s="31">
        <v>814.27</v>
      </c>
      <c r="T13" s="7"/>
      <c r="U13" s="7" t="s">
        <v>23</v>
      </c>
      <c r="V13" s="7" t="s">
        <v>24</v>
      </c>
      <c r="W13" s="7">
        <v>1.0</v>
      </c>
      <c r="X13" s="8" t="s">
        <v>20</v>
      </c>
      <c r="Y13" s="8">
        <v>1900000.0</v>
      </c>
      <c r="Z13" s="8">
        <v>1900000.0</v>
      </c>
      <c r="AA13" s="7" t="s">
        <v>77</v>
      </c>
      <c r="AB13" s="5"/>
      <c r="AC13" s="10"/>
    </row>
    <row r="14">
      <c r="B14" s="32">
        <v>46023.0</v>
      </c>
      <c r="C14" s="33" t="s">
        <v>78</v>
      </c>
      <c r="D14" s="3"/>
      <c r="E14" s="34" t="s">
        <v>79</v>
      </c>
      <c r="F14" s="35">
        <v>40.0</v>
      </c>
      <c r="G14" s="36">
        <f t="shared" ref="G14:G15" si="5">$H$4</f>
        <v>17045.45455</v>
      </c>
      <c r="H14" s="36">
        <f t="shared" ref="H14:H22" si="6">F14*G14</f>
        <v>681818.1818</v>
      </c>
      <c r="L14" s="19"/>
      <c r="M14" s="14" t="s">
        <v>80</v>
      </c>
      <c r="N14" s="14">
        <v>2.0</v>
      </c>
      <c r="O14" s="14" t="s">
        <v>20</v>
      </c>
      <c r="P14" s="15">
        <v>1000000.0</v>
      </c>
      <c r="Q14" s="15">
        <f t="shared" si="4"/>
        <v>2000000</v>
      </c>
      <c r="R14" s="7" t="s">
        <v>81</v>
      </c>
      <c r="T14" s="7"/>
      <c r="U14" s="7" t="s">
        <v>23</v>
      </c>
      <c r="V14" s="7" t="s">
        <v>30</v>
      </c>
      <c r="W14" s="7">
        <v>1.0</v>
      </c>
      <c r="X14" s="8" t="s">
        <v>20</v>
      </c>
      <c r="Y14" s="8">
        <v>3500000.0</v>
      </c>
      <c r="Z14" s="8">
        <v>3500000.0</v>
      </c>
      <c r="AA14" s="7" t="s">
        <v>82</v>
      </c>
      <c r="AB14" s="10"/>
      <c r="AC14" s="10"/>
    </row>
    <row r="15">
      <c r="B15" s="32">
        <v>46054.0</v>
      </c>
      <c r="C15" s="33" t="s">
        <v>83</v>
      </c>
      <c r="D15" s="3"/>
      <c r="E15" s="34" t="s">
        <v>79</v>
      </c>
      <c r="F15" s="35">
        <v>35.0</v>
      </c>
      <c r="G15" s="36">
        <f t="shared" si="5"/>
        <v>17045.45455</v>
      </c>
      <c r="H15" s="36">
        <f t="shared" si="6"/>
        <v>596590.9091</v>
      </c>
      <c r="L15" s="19"/>
      <c r="M15" s="14" t="s">
        <v>84</v>
      </c>
      <c r="N15" s="14">
        <v>2.0</v>
      </c>
      <c r="O15" s="14" t="s">
        <v>20</v>
      </c>
      <c r="P15" s="15">
        <v>1300000.0</v>
      </c>
      <c r="Q15" s="15">
        <f t="shared" si="4"/>
        <v>2600000</v>
      </c>
      <c r="R15" s="7" t="s">
        <v>85</v>
      </c>
      <c r="T15" s="7"/>
      <c r="U15" s="7" t="s">
        <v>23</v>
      </c>
      <c r="V15" s="7" t="s">
        <v>86</v>
      </c>
      <c r="W15" s="7">
        <v>4.0</v>
      </c>
      <c r="X15" s="8" t="s">
        <v>20</v>
      </c>
      <c r="Y15" s="8">
        <v>1200000.0</v>
      </c>
      <c r="Z15" s="8">
        <v>4800000.0</v>
      </c>
      <c r="AA15" s="7" t="s">
        <v>87</v>
      </c>
      <c r="AB15" s="10"/>
      <c r="AC15" s="10"/>
    </row>
    <row r="16">
      <c r="B16" s="32">
        <v>46082.0</v>
      </c>
      <c r="C16" s="33" t="s">
        <v>88</v>
      </c>
      <c r="D16" s="3"/>
      <c r="E16" s="34" t="s">
        <v>89</v>
      </c>
      <c r="F16" s="35">
        <v>45.0</v>
      </c>
      <c r="G16" s="36">
        <f>$H$5</f>
        <v>18750</v>
      </c>
      <c r="H16" s="36">
        <f t="shared" si="6"/>
        <v>843750</v>
      </c>
      <c r="L16" s="19"/>
      <c r="M16" s="14" t="s">
        <v>90</v>
      </c>
      <c r="N16" s="14">
        <v>1.0</v>
      </c>
      <c r="O16" s="14" t="s">
        <v>20</v>
      </c>
      <c r="P16" s="15">
        <v>2100000.0</v>
      </c>
      <c r="Q16" s="15">
        <f t="shared" si="4"/>
        <v>2100000</v>
      </c>
      <c r="R16" s="7" t="s">
        <v>91</v>
      </c>
      <c r="T16" s="20"/>
      <c r="U16" s="20" t="s">
        <v>48</v>
      </c>
      <c r="V16" s="21"/>
      <c r="W16" s="21"/>
      <c r="X16" s="22"/>
      <c r="Y16" s="22"/>
      <c r="Z16" s="22">
        <v>1.02E7</v>
      </c>
      <c r="AA16" s="21"/>
      <c r="AB16" s="10"/>
      <c r="AC16" s="10"/>
    </row>
    <row r="17">
      <c r="B17" s="32">
        <v>46113.0</v>
      </c>
      <c r="C17" s="33" t="s">
        <v>92</v>
      </c>
      <c r="D17" s="3"/>
      <c r="E17" s="34" t="s">
        <v>93</v>
      </c>
      <c r="F17" s="35">
        <v>50.0</v>
      </c>
      <c r="G17" s="36">
        <f>$H$7</f>
        <v>17897.72727</v>
      </c>
      <c r="H17" s="36">
        <f t="shared" si="6"/>
        <v>894886.3636</v>
      </c>
      <c r="L17" s="19"/>
      <c r="M17" s="14" t="s">
        <v>36</v>
      </c>
      <c r="N17" s="14">
        <v>1.0</v>
      </c>
      <c r="O17" s="14" t="s">
        <v>20</v>
      </c>
      <c r="P17" s="15">
        <v>1.8E7</v>
      </c>
      <c r="Q17" s="15">
        <f t="shared" si="4"/>
        <v>18000000</v>
      </c>
      <c r="R17" s="7" t="s">
        <v>94</v>
      </c>
      <c r="T17" s="7"/>
      <c r="U17" s="7" t="s">
        <v>53</v>
      </c>
      <c r="V17" s="7" t="s">
        <v>95</v>
      </c>
      <c r="W17" s="7">
        <v>1.0</v>
      </c>
      <c r="X17" s="8" t="s">
        <v>20</v>
      </c>
      <c r="Y17" s="8">
        <v>2500000.0</v>
      </c>
      <c r="Z17" s="8">
        <v>2500000.0</v>
      </c>
      <c r="AA17" s="7" t="s">
        <v>96</v>
      </c>
      <c r="AB17" s="10"/>
    </row>
    <row r="18">
      <c r="B18" s="32">
        <v>46143.0</v>
      </c>
      <c r="C18" s="33" t="s">
        <v>97</v>
      </c>
      <c r="D18" s="3"/>
      <c r="E18" s="34" t="s">
        <v>98</v>
      </c>
      <c r="F18" s="35">
        <v>40.0</v>
      </c>
      <c r="G18" s="36">
        <f t="shared" ref="G18:G20" si="7">$H$5</f>
        <v>18750</v>
      </c>
      <c r="H18" s="36">
        <f t="shared" si="6"/>
        <v>750000</v>
      </c>
      <c r="L18" s="19"/>
      <c r="M18" s="14" t="s">
        <v>99</v>
      </c>
      <c r="N18" s="14">
        <v>12.0</v>
      </c>
      <c r="O18" s="14" t="s">
        <v>20</v>
      </c>
      <c r="P18" s="15">
        <v>280000.0</v>
      </c>
      <c r="Q18" s="15">
        <f t="shared" si="4"/>
        <v>3360000</v>
      </c>
      <c r="R18" s="7" t="s">
        <v>100</v>
      </c>
      <c r="T18" s="20"/>
      <c r="U18" s="20" t="s">
        <v>58</v>
      </c>
      <c r="V18" s="21"/>
      <c r="W18" s="21"/>
      <c r="X18" s="22"/>
      <c r="Y18" s="22"/>
      <c r="Z18" s="22">
        <v>2500000.0</v>
      </c>
      <c r="AA18" s="21"/>
      <c r="AB18" s="10"/>
      <c r="AC18" s="5"/>
    </row>
    <row r="19">
      <c r="B19" s="32">
        <v>46174.0</v>
      </c>
      <c r="C19" s="33" t="s">
        <v>101</v>
      </c>
      <c r="D19" s="3"/>
      <c r="E19" s="34" t="s">
        <v>102</v>
      </c>
      <c r="F19" s="35">
        <v>50.0</v>
      </c>
      <c r="G19" s="36">
        <f t="shared" si="7"/>
        <v>18750</v>
      </c>
      <c r="H19" s="36">
        <f t="shared" si="6"/>
        <v>937500</v>
      </c>
      <c r="L19" s="37"/>
      <c r="M19" s="14" t="s">
        <v>103</v>
      </c>
      <c r="N19" s="14">
        <v>1.0</v>
      </c>
      <c r="O19" s="14" t="s">
        <v>20</v>
      </c>
      <c r="P19" s="15">
        <v>1500000.0</v>
      </c>
      <c r="Q19" s="15">
        <f t="shared" si="4"/>
        <v>1500000</v>
      </c>
      <c r="R19" s="7" t="s">
        <v>104</v>
      </c>
      <c r="T19" s="24"/>
      <c r="U19" s="24" t="s">
        <v>62</v>
      </c>
      <c r="V19" s="25"/>
      <c r="W19" s="25"/>
      <c r="X19" s="26"/>
      <c r="Y19" s="26"/>
      <c r="Z19" s="26">
        <v>2.77E7</v>
      </c>
      <c r="AA19" s="25"/>
      <c r="AB19" s="10"/>
      <c r="AC19" s="10"/>
    </row>
    <row r="20">
      <c r="B20" s="32">
        <v>46204.0</v>
      </c>
      <c r="C20" s="33" t="s">
        <v>105</v>
      </c>
      <c r="D20" s="3"/>
      <c r="E20" s="34" t="s">
        <v>106</v>
      </c>
      <c r="F20" s="35">
        <v>40.0</v>
      </c>
      <c r="G20" s="36">
        <f t="shared" si="7"/>
        <v>18750</v>
      </c>
      <c r="H20" s="36">
        <f t="shared" si="6"/>
        <v>750000</v>
      </c>
      <c r="L20" s="37"/>
      <c r="M20" s="14" t="s">
        <v>107</v>
      </c>
      <c r="N20" s="14">
        <v>1.0</v>
      </c>
      <c r="O20" s="14" t="s">
        <v>20</v>
      </c>
      <c r="P20" s="15">
        <v>8000000.0</v>
      </c>
      <c r="Q20" s="15">
        <f t="shared" si="4"/>
        <v>8000000</v>
      </c>
      <c r="R20" s="7" t="s">
        <v>108</v>
      </c>
      <c r="T20" s="13" t="s">
        <v>109</v>
      </c>
      <c r="U20" s="7" t="s">
        <v>110</v>
      </c>
      <c r="V20" s="7" t="s">
        <v>19</v>
      </c>
      <c r="W20" s="7">
        <v>1.0</v>
      </c>
      <c r="X20" s="8" t="s">
        <v>20</v>
      </c>
      <c r="Y20" s="8">
        <v>3.52E8</v>
      </c>
      <c r="Z20" s="8">
        <v>3.52E8</v>
      </c>
      <c r="AA20" s="7" t="s">
        <v>111</v>
      </c>
      <c r="AB20" s="10"/>
      <c r="AC20" s="10"/>
    </row>
    <row r="21">
      <c r="B21" s="32">
        <v>46235.0</v>
      </c>
      <c r="C21" s="33" t="s">
        <v>112</v>
      </c>
      <c r="D21" s="3"/>
      <c r="E21" s="34" t="s">
        <v>113</v>
      </c>
      <c r="F21" s="35">
        <v>30.0</v>
      </c>
      <c r="G21" s="36">
        <f t="shared" ref="G21:G22" si="8">$H$4</f>
        <v>17045.45455</v>
      </c>
      <c r="H21" s="36">
        <f t="shared" si="6"/>
        <v>511363.6364</v>
      </c>
      <c r="L21" s="37"/>
      <c r="M21" s="14" t="s">
        <v>114</v>
      </c>
      <c r="N21" s="14">
        <v>1.0</v>
      </c>
      <c r="O21" s="14" t="s">
        <v>20</v>
      </c>
      <c r="P21" s="15">
        <v>3500000.0</v>
      </c>
      <c r="Q21" s="15">
        <f t="shared" si="4"/>
        <v>3500000</v>
      </c>
      <c r="R21" s="7" t="s">
        <v>115</v>
      </c>
      <c r="T21" s="7"/>
      <c r="U21" s="7" t="s">
        <v>110</v>
      </c>
      <c r="V21" s="7" t="s">
        <v>116</v>
      </c>
      <c r="W21" s="7">
        <v>1.0</v>
      </c>
      <c r="X21" s="7" t="s">
        <v>20</v>
      </c>
      <c r="Y21" s="8">
        <v>4.45E7</v>
      </c>
      <c r="Z21" s="8">
        <v>4.45E7</v>
      </c>
      <c r="AA21" s="7" t="s">
        <v>117</v>
      </c>
      <c r="AB21" s="10"/>
      <c r="AC21" s="10"/>
    </row>
    <row r="22">
      <c r="B22" s="32">
        <v>46266.0</v>
      </c>
      <c r="C22" s="33" t="s">
        <v>118</v>
      </c>
      <c r="D22" s="3"/>
      <c r="E22" s="34" t="s">
        <v>113</v>
      </c>
      <c r="F22" s="35">
        <v>35.0</v>
      </c>
      <c r="G22" s="36">
        <f t="shared" si="8"/>
        <v>17045.45455</v>
      </c>
      <c r="H22" s="36">
        <f t="shared" si="6"/>
        <v>596590.9091</v>
      </c>
      <c r="L22" s="13" t="s">
        <v>48</v>
      </c>
      <c r="M22" s="27"/>
      <c r="N22" s="27"/>
      <c r="O22" s="27"/>
      <c r="P22" s="27"/>
      <c r="Q22" s="28">
        <f>SUM(Q12:Q21)</f>
        <v>46460000</v>
      </c>
      <c r="R22" s="20"/>
      <c r="T22" s="38"/>
      <c r="U22" s="7" t="s">
        <v>110</v>
      </c>
      <c r="V22" s="7" t="s">
        <v>119</v>
      </c>
      <c r="W22" s="7">
        <v>1.0</v>
      </c>
      <c r="X22" s="7" t="s">
        <v>20</v>
      </c>
      <c r="Y22" s="8">
        <v>1.85E7</v>
      </c>
      <c r="Z22" s="8">
        <v>1.85E7</v>
      </c>
      <c r="AA22" s="7" t="s">
        <v>35</v>
      </c>
      <c r="AB22" s="10"/>
      <c r="AC22" s="10"/>
    </row>
    <row r="23">
      <c r="B23" s="39"/>
      <c r="C23" s="39"/>
      <c r="D23" s="39"/>
      <c r="E23" s="39"/>
      <c r="F23" s="39"/>
      <c r="G23" s="39"/>
      <c r="H23" s="36">
        <f>SUM(H13:H22)</f>
        <v>6562500</v>
      </c>
      <c r="L23" s="13" t="s">
        <v>120</v>
      </c>
      <c r="M23" s="14" t="s">
        <v>121</v>
      </c>
      <c r="N23" s="14">
        <v>1.0</v>
      </c>
      <c r="O23" s="14" t="s">
        <v>20</v>
      </c>
      <c r="P23" s="15">
        <v>1.8E7</v>
      </c>
      <c r="Q23" s="15">
        <f t="shared" ref="Q23:Q28" si="9">N23*P23</f>
        <v>18000000</v>
      </c>
      <c r="R23" s="7" t="s">
        <v>122</v>
      </c>
      <c r="T23" s="38"/>
      <c r="U23" s="7" t="s">
        <v>110</v>
      </c>
      <c r="V23" s="7" t="s">
        <v>123</v>
      </c>
      <c r="W23" s="7">
        <v>1.0</v>
      </c>
      <c r="X23" s="7" t="s">
        <v>20</v>
      </c>
      <c r="Y23" s="8">
        <v>3.75E7</v>
      </c>
      <c r="Z23" s="8">
        <v>3.75E7</v>
      </c>
      <c r="AA23" s="7" t="s">
        <v>124</v>
      </c>
      <c r="AC23" s="10"/>
    </row>
    <row r="24">
      <c r="L24" s="37"/>
      <c r="M24" s="14" t="s">
        <v>125</v>
      </c>
      <c r="N24" s="14">
        <v>1.0</v>
      </c>
      <c r="O24" s="14" t="s">
        <v>20</v>
      </c>
      <c r="P24" s="15">
        <v>9000000.0</v>
      </c>
      <c r="Q24" s="15">
        <f t="shared" si="9"/>
        <v>9000000</v>
      </c>
      <c r="R24" s="7" t="s">
        <v>126</v>
      </c>
      <c r="T24" s="21"/>
      <c r="U24" s="20" t="s">
        <v>63</v>
      </c>
      <c r="V24" s="21"/>
      <c r="W24" s="21"/>
      <c r="X24" s="21"/>
      <c r="Y24" s="21"/>
      <c r="Z24" s="22">
        <v>4.525E8</v>
      </c>
      <c r="AA24" s="21"/>
      <c r="AC24" s="10"/>
    </row>
    <row r="25">
      <c r="B25" s="4" t="s">
        <v>127</v>
      </c>
      <c r="C25" s="2"/>
      <c r="D25" s="2"/>
      <c r="E25" s="2"/>
      <c r="F25" s="2"/>
      <c r="G25" s="2"/>
      <c r="H25" s="3"/>
      <c r="L25" s="37"/>
      <c r="M25" s="14" t="s">
        <v>128</v>
      </c>
      <c r="N25" s="14">
        <v>1.0</v>
      </c>
      <c r="O25" s="14" t="s">
        <v>20</v>
      </c>
      <c r="P25" s="15">
        <v>1.5E7</v>
      </c>
      <c r="Q25" s="15">
        <f t="shared" si="9"/>
        <v>15000000</v>
      </c>
      <c r="R25" s="7" t="s">
        <v>129</v>
      </c>
      <c r="T25" s="38"/>
      <c r="U25" s="7" t="s">
        <v>23</v>
      </c>
      <c r="V25" s="7" t="s">
        <v>107</v>
      </c>
      <c r="W25" s="7">
        <v>1.0</v>
      </c>
      <c r="X25" s="7" t="s">
        <v>20</v>
      </c>
      <c r="Y25" s="8">
        <v>8000000.0</v>
      </c>
      <c r="Z25" s="8">
        <v>8000000.0</v>
      </c>
      <c r="AA25" s="7" t="s">
        <v>130</v>
      </c>
      <c r="AB25" s="10"/>
      <c r="AC25" s="10"/>
    </row>
    <row r="26">
      <c r="B26" s="30" t="s">
        <v>131</v>
      </c>
      <c r="C26" s="29" t="s">
        <v>132</v>
      </c>
      <c r="D26" s="3"/>
      <c r="E26" s="30" t="s">
        <v>133</v>
      </c>
      <c r="F26" s="30" t="s">
        <v>134</v>
      </c>
      <c r="G26" s="30" t="s">
        <v>7</v>
      </c>
      <c r="H26" s="30" t="s">
        <v>76</v>
      </c>
      <c r="L26" s="37"/>
      <c r="M26" s="14" t="s">
        <v>135</v>
      </c>
      <c r="N26" s="14">
        <v>1.0</v>
      </c>
      <c r="O26" s="14" t="s">
        <v>20</v>
      </c>
      <c r="P26" s="15">
        <v>6500000.0</v>
      </c>
      <c r="Q26" s="15">
        <f t="shared" si="9"/>
        <v>6500000</v>
      </c>
      <c r="R26" s="7" t="s">
        <v>136</v>
      </c>
      <c r="T26" s="21"/>
      <c r="U26" s="20" t="s">
        <v>48</v>
      </c>
      <c r="V26" s="21"/>
      <c r="W26" s="21"/>
      <c r="X26" s="21"/>
      <c r="Y26" s="21"/>
      <c r="Z26" s="22">
        <v>8000000.0</v>
      </c>
      <c r="AA26" s="21"/>
      <c r="AC26" s="10"/>
    </row>
    <row r="27">
      <c r="B27" s="33" t="s">
        <v>137</v>
      </c>
      <c r="C27" s="2"/>
      <c r="D27" s="2"/>
      <c r="E27" s="2"/>
      <c r="F27" s="2"/>
      <c r="G27" s="2"/>
      <c r="H27" s="3"/>
      <c r="L27" s="37"/>
      <c r="M27" s="14" t="s">
        <v>138</v>
      </c>
      <c r="N27" s="14">
        <v>1.0</v>
      </c>
      <c r="O27" s="14" t="s">
        <v>20</v>
      </c>
      <c r="P27" s="15">
        <v>1.0E7</v>
      </c>
      <c r="Q27" s="15">
        <f t="shared" si="9"/>
        <v>10000000</v>
      </c>
      <c r="R27" s="7" t="s">
        <v>139</v>
      </c>
      <c r="T27" s="38"/>
      <c r="U27" s="7" t="s">
        <v>140</v>
      </c>
      <c r="V27" s="7" t="s">
        <v>141</v>
      </c>
      <c r="W27" s="7">
        <v>1.0</v>
      </c>
      <c r="X27" s="7" t="s">
        <v>20</v>
      </c>
      <c r="Y27" s="8">
        <v>5.96E7</v>
      </c>
      <c r="Z27" s="8">
        <v>5.96E7</v>
      </c>
      <c r="AA27" s="7" t="s">
        <v>142</v>
      </c>
      <c r="AC27" s="10"/>
    </row>
    <row r="28">
      <c r="B28" s="34" t="s">
        <v>143</v>
      </c>
      <c r="C28" s="33" t="s">
        <v>144</v>
      </c>
      <c r="D28" s="3"/>
      <c r="E28" s="35" t="s">
        <v>145</v>
      </c>
      <c r="F28" s="35">
        <v>1.0</v>
      </c>
      <c r="G28" s="40">
        <v>400000.0</v>
      </c>
      <c r="H28" s="40">
        <f t="shared" ref="H28:H34" si="10">G28*F28</f>
        <v>400000</v>
      </c>
      <c r="L28" s="37"/>
      <c r="M28" s="14" t="s">
        <v>146</v>
      </c>
      <c r="N28" s="14">
        <v>2.0</v>
      </c>
      <c r="O28" s="14" t="s">
        <v>20</v>
      </c>
      <c r="P28" s="15">
        <v>550000.0</v>
      </c>
      <c r="Q28" s="15">
        <f t="shared" si="9"/>
        <v>1100000</v>
      </c>
      <c r="R28" s="7" t="s">
        <v>147</v>
      </c>
      <c r="T28" s="21"/>
      <c r="U28" s="20" t="s">
        <v>148</v>
      </c>
      <c r="V28" s="21"/>
      <c r="W28" s="21"/>
      <c r="X28" s="21"/>
      <c r="Y28" s="21"/>
      <c r="Z28" s="22">
        <v>5.96E7</v>
      </c>
      <c r="AA28" s="21"/>
      <c r="AC28" s="10"/>
    </row>
    <row r="29">
      <c r="B29" s="34" t="s">
        <v>149</v>
      </c>
      <c r="C29" s="33" t="s">
        <v>150</v>
      </c>
      <c r="D29" s="3"/>
      <c r="E29" s="35" t="s">
        <v>145</v>
      </c>
      <c r="F29" s="35">
        <v>1.0</v>
      </c>
      <c r="G29" s="40">
        <v>0.0</v>
      </c>
      <c r="H29" s="40">
        <f t="shared" si="10"/>
        <v>0</v>
      </c>
      <c r="L29" s="13" t="s">
        <v>151</v>
      </c>
      <c r="M29" s="27"/>
      <c r="N29" s="27"/>
      <c r="O29" s="27"/>
      <c r="P29" s="27"/>
      <c r="Q29" s="28">
        <f>SUM(Q23:Q28)</f>
        <v>59600000</v>
      </c>
      <c r="R29" s="20"/>
      <c r="S29" s="10" t="s">
        <v>152</v>
      </c>
      <c r="T29" s="38"/>
      <c r="U29" s="7" t="s">
        <v>53</v>
      </c>
      <c r="V29" s="7" t="s">
        <v>54</v>
      </c>
      <c r="W29" s="7">
        <v>1.0</v>
      </c>
      <c r="X29" s="7" t="s">
        <v>20</v>
      </c>
      <c r="Y29" s="8">
        <v>3000000.0</v>
      </c>
      <c r="Z29" s="8">
        <v>3000000.0</v>
      </c>
      <c r="AA29" s="7" t="s">
        <v>55</v>
      </c>
    </row>
    <row r="30">
      <c r="B30" s="34" t="s">
        <v>153</v>
      </c>
      <c r="C30" s="33" t="s">
        <v>154</v>
      </c>
      <c r="D30" s="3"/>
      <c r="E30" s="35" t="s">
        <v>145</v>
      </c>
      <c r="F30" s="35">
        <v>1.0</v>
      </c>
      <c r="G30" s="40">
        <v>0.0</v>
      </c>
      <c r="H30" s="40">
        <f t="shared" si="10"/>
        <v>0</v>
      </c>
      <c r="L30" s="13" t="s">
        <v>155</v>
      </c>
      <c r="M30" s="14" t="s">
        <v>156</v>
      </c>
      <c r="N30" s="14">
        <v>1.0</v>
      </c>
      <c r="O30" s="14" t="s">
        <v>20</v>
      </c>
      <c r="P30" s="15">
        <v>1900000.0</v>
      </c>
      <c r="Q30" s="15">
        <f t="shared" ref="Q30:Q36" si="11">N30*P30</f>
        <v>1900000</v>
      </c>
      <c r="R30" s="7" t="s">
        <v>157</v>
      </c>
      <c r="T30" s="38"/>
      <c r="U30" s="7" t="s">
        <v>53</v>
      </c>
      <c r="V30" s="7" t="s">
        <v>158</v>
      </c>
      <c r="W30" s="7">
        <v>1.0</v>
      </c>
      <c r="X30" s="7" t="s">
        <v>20</v>
      </c>
      <c r="Y30" s="8">
        <v>1.22E7</v>
      </c>
      <c r="Z30" s="8">
        <v>1.22E7</v>
      </c>
      <c r="AA30" s="7" t="s">
        <v>159</v>
      </c>
    </row>
    <row r="31">
      <c r="B31" s="34" t="s">
        <v>160</v>
      </c>
      <c r="C31" s="33" t="s">
        <v>161</v>
      </c>
      <c r="D31" s="3"/>
      <c r="E31" s="35" t="s">
        <v>145</v>
      </c>
      <c r="F31" s="35">
        <v>1.0</v>
      </c>
      <c r="G31" s="40">
        <v>0.0</v>
      </c>
      <c r="H31" s="40">
        <f t="shared" si="10"/>
        <v>0</v>
      </c>
      <c r="L31" s="37"/>
      <c r="M31" s="14" t="s">
        <v>162</v>
      </c>
      <c r="N31" s="14">
        <v>1.0</v>
      </c>
      <c r="O31" s="14" t="s">
        <v>20</v>
      </c>
      <c r="P31" s="15">
        <v>1100000.0</v>
      </c>
      <c r="Q31" s="15">
        <f t="shared" si="11"/>
        <v>1100000</v>
      </c>
      <c r="R31" s="7" t="s">
        <v>163</v>
      </c>
      <c r="T31" s="38"/>
      <c r="U31" s="7" t="s">
        <v>53</v>
      </c>
      <c r="V31" s="7" t="s">
        <v>164</v>
      </c>
      <c r="W31" s="7">
        <v>1.0</v>
      </c>
      <c r="X31" s="7" t="s">
        <v>20</v>
      </c>
      <c r="Y31" s="8">
        <v>2500000.0</v>
      </c>
      <c r="Z31" s="8">
        <v>2500000.0</v>
      </c>
      <c r="AA31" s="7" t="s">
        <v>165</v>
      </c>
      <c r="AC31" s="10"/>
    </row>
    <row r="32">
      <c r="B32" s="34" t="s">
        <v>166</v>
      </c>
      <c r="C32" s="33" t="s">
        <v>167</v>
      </c>
      <c r="D32" s="3"/>
      <c r="E32" s="35" t="s">
        <v>145</v>
      </c>
      <c r="F32" s="35">
        <v>1.0</v>
      </c>
      <c r="G32" s="40">
        <v>0.0</v>
      </c>
      <c r="H32" s="40">
        <f t="shared" si="10"/>
        <v>0</v>
      </c>
      <c r="L32" s="37"/>
      <c r="M32" s="14" t="s">
        <v>168</v>
      </c>
      <c r="N32" s="14">
        <v>1.0</v>
      </c>
      <c r="O32" s="14" t="s">
        <v>20</v>
      </c>
      <c r="P32" s="15">
        <v>4600000.0</v>
      </c>
      <c r="Q32" s="15">
        <f t="shared" si="11"/>
        <v>4600000</v>
      </c>
      <c r="R32" s="7" t="s">
        <v>169</v>
      </c>
      <c r="T32" s="38"/>
      <c r="U32" s="7" t="s">
        <v>53</v>
      </c>
      <c r="V32" s="7" t="s">
        <v>170</v>
      </c>
      <c r="W32" s="7">
        <v>1.0</v>
      </c>
      <c r="X32" s="7" t="s">
        <v>20</v>
      </c>
      <c r="Y32" s="8">
        <v>3.5E7</v>
      </c>
      <c r="Z32" s="8">
        <v>3.5E7</v>
      </c>
      <c r="AA32" s="7" t="s">
        <v>171</v>
      </c>
    </row>
    <row r="33">
      <c r="B33" s="34" t="s">
        <v>172</v>
      </c>
      <c r="C33" s="33" t="s">
        <v>173</v>
      </c>
      <c r="D33" s="3"/>
      <c r="E33" s="35" t="s">
        <v>145</v>
      </c>
      <c r="F33" s="35">
        <v>1.0</v>
      </c>
      <c r="G33" s="40">
        <v>0.0</v>
      </c>
      <c r="H33" s="40">
        <f t="shared" si="10"/>
        <v>0</v>
      </c>
      <c r="L33" s="37"/>
      <c r="M33" s="14" t="s">
        <v>174</v>
      </c>
      <c r="N33" s="14">
        <v>1.0</v>
      </c>
      <c r="O33" s="14" t="s">
        <v>20</v>
      </c>
      <c r="P33" s="15">
        <v>4600000.0</v>
      </c>
      <c r="Q33" s="15">
        <f t="shared" si="11"/>
        <v>4600000</v>
      </c>
      <c r="R33" s="7" t="s">
        <v>175</v>
      </c>
      <c r="T33" s="21"/>
      <c r="U33" s="20" t="s">
        <v>58</v>
      </c>
      <c r="V33" s="21"/>
      <c r="W33" s="21"/>
      <c r="X33" s="21"/>
      <c r="Y33" s="21"/>
      <c r="Z33" s="22">
        <v>5.27E7</v>
      </c>
      <c r="AA33" s="21"/>
    </row>
    <row r="34">
      <c r="B34" s="34" t="s">
        <v>176</v>
      </c>
      <c r="C34" s="33" t="s">
        <v>177</v>
      </c>
      <c r="D34" s="3"/>
      <c r="E34" s="35" t="s">
        <v>178</v>
      </c>
      <c r="F34" s="35">
        <v>1.0</v>
      </c>
      <c r="G34" s="40">
        <v>0.0</v>
      </c>
      <c r="H34" s="40">
        <f t="shared" si="10"/>
        <v>0</v>
      </c>
      <c r="L34" s="37"/>
      <c r="M34" s="14" t="s">
        <v>179</v>
      </c>
      <c r="N34" s="14">
        <v>1.0</v>
      </c>
      <c r="O34" s="14" t="s">
        <v>20</v>
      </c>
      <c r="P34" s="15">
        <v>3000000.0</v>
      </c>
      <c r="Q34" s="15">
        <f t="shared" si="11"/>
        <v>3000000</v>
      </c>
      <c r="R34" s="7" t="s">
        <v>180</v>
      </c>
      <c r="T34" s="25"/>
      <c r="U34" s="24" t="s">
        <v>62</v>
      </c>
      <c r="V34" s="25"/>
      <c r="W34" s="25"/>
      <c r="X34" s="25"/>
      <c r="Y34" s="25"/>
      <c r="Z34" s="26">
        <v>5.728E8</v>
      </c>
      <c r="AA34" s="25"/>
    </row>
    <row r="35">
      <c r="B35" s="41" t="s">
        <v>181</v>
      </c>
      <c r="C35" s="2"/>
      <c r="D35" s="2"/>
      <c r="E35" s="2"/>
      <c r="F35" s="2"/>
      <c r="G35" s="2"/>
      <c r="H35" s="3"/>
      <c r="L35" s="37"/>
      <c r="M35" s="14" t="s">
        <v>164</v>
      </c>
      <c r="N35" s="14">
        <v>1.0</v>
      </c>
      <c r="O35" s="14" t="s">
        <v>20</v>
      </c>
      <c r="P35" s="15">
        <v>2500000.0</v>
      </c>
      <c r="Q35" s="15">
        <f t="shared" si="11"/>
        <v>2500000</v>
      </c>
      <c r="R35" s="7" t="s">
        <v>165</v>
      </c>
      <c r="T35" s="20" t="s">
        <v>182</v>
      </c>
      <c r="U35" s="21"/>
      <c r="V35" s="21"/>
      <c r="W35" s="21"/>
      <c r="X35" s="21"/>
      <c r="Y35" s="21"/>
      <c r="Z35" s="22">
        <v>7.46898675E8</v>
      </c>
      <c r="AA35" s="20" t="s">
        <v>183</v>
      </c>
    </row>
    <row r="36">
      <c r="B36" s="16" t="s">
        <v>184</v>
      </c>
      <c r="C36" s="41" t="s">
        <v>185</v>
      </c>
      <c r="D36" s="3"/>
      <c r="E36" s="42"/>
      <c r="F36" s="18">
        <v>4.0</v>
      </c>
      <c r="G36" s="17">
        <v>100000.0</v>
      </c>
      <c r="H36" s="40">
        <f t="shared" ref="H36:H37" si="12">G36*F36</f>
        <v>400000</v>
      </c>
      <c r="L36" s="37"/>
      <c r="M36" s="14" t="s">
        <v>170</v>
      </c>
      <c r="N36" s="14">
        <v>1.0</v>
      </c>
      <c r="O36" s="14" t="s">
        <v>20</v>
      </c>
      <c r="P36" s="15">
        <v>3.5E7</v>
      </c>
      <c r="Q36" s="15">
        <f t="shared" si="11"/>
        <v>35000000</v>
      </c>
      <c r="R36" s="7" t="s">
        <v>171</v>
      </c>
      <c r="T36" s="43"/>
      <c r="U36" s="43"/>
      <c r="V36" s="43"/>
      <c r="W36" s="43"/>
      <c r="X36" s="43"/>
      <c r="Y36" s="43"/>
      <c r="Z36" s="43"/>
      <c r="AA36" s="43"/>
    </row>
    <row r="37">
      <c r="B37" s="16" t="s">
        <v>186</v>
      </c>
      <c r="C37" s="41" t="s">
        <v>185</v>
      </c>
      <c r="D37" s="3"/>
      <c r="E37" s="42"/>
      <c r="F37" s="18">
        <v>4.0</v>
      </c>
      <c r="G37" s="17">
        <v>100000.0</v>
      </c>
      <c r="H37" s="40">
        <f t="shared" si="12"/>
        <v>400000</v>
      </c>
      <c r="L37" s="13" t="s">
        <v>187</v>
      </c>
      <c r="M37" s="27"/>
      <c r="N37" s="27"/>
      <c r="O37" s="27"/>
      <c r="P37" s="27"/>
      <c r="Q37" s="28">
        <f>SUM(Q30:Q36)</f>
        <v>52700000</v>
      </c>
      <c r="R37" s="20"/>
      <c r="AA37" s="43"/>
    </row>
    <row r="38">
      <c r="C38" s="10"/>
      <c r="D38" s="10"/>
      <c r="L38" s="13" t="s">
        <v>188</v>
      </c>
      <c r="M38" s="14" t="s">
        <v>79</v>
      </c>
      <c r="N38" s="14">
        <v>140.0</v>
      </c>
      <c r="O38" s="14" t="s">
        <v>189</v>
      </c>
      <c r="P38" s="15">
        <v>17045.0</v>
      </c>
      <c r="Q38" s="15">
        <f t="shared" ref="Q38:Q42" si="13">N38*P38</f>
        <v>2386300</v>
      </c>
      <c r="R38" s="7" t="s">
        <v>190</v>
      </c>
      <c r="T38" s="14" t="s">
        <v>191</v>
      </c>
      <c r="U38" s="44">
        <f>Z10</f>
        <v>31400000</v>
      </c>
      <c r="AA38" s="43"/>
    </row>
    <row r="39">
      <c r="C39" s="10"/>
      <c r="D39" s="10"/>
      <c r="L39" s="37"/>
      <c r="M39" s="14" t="s">
        <v>89</v>
      </c>
      <c r="N39" s="14">
        <v>85.0</v>
      </c>
      <c r="O39" s="14" t="s">
        <v>189</v>
      </c>
      <c r="P39" s="15">
        <v>18750.0</v>
      </c>
      <c r="Q39" s="15">
        <f t="shared" si="13"/>
        <v>1593750</v>
      </c>
      <c r="R39" s="7" t="s">
        <v>192</v>
      </c>
      <c r="T39" s="14" t="s">
        <v>193</v>
      </c>
      <c r="U39" s="44">
        <f>U38+Q43+Q48</f>
        <v>44262450</v>
      </c>
      <c r="AA39" s="43"/>
    </row>
    <row r="40">
      <c r="L40" s="37"/>
      <c r="M40" s="14" t="s">
        <v>102</v>
      </c>
      <c r="N40" s="14">
        <v>50.0</v>
      </c>
      <c r="O40" s="14" t="s">
        <v>189</v>
      </c>
      <c r="P40" s="15">
        <v>18750.0</v>
      </c>
      <c r="Q40" s="15">
        <f t="shared" si="13"/>
        <v>937500</v>
      </c>
      <c r="R40" s="7" t="s">
        <v>194</v>
      </c>
      <c r="T40" s="14" t="s">
        <v>195</v>
      </c>
      <c r="U40" s="14">
        <f>$U$39*0.06</f>
        <v>2655747</v>
      </c>
      <c r="AA40" s="43"/>
    </row>
    <row r="41">
      <c r="L41" s="37"/>
      <c r="M41" s="14" t="s">
        <v>93</v>
      </c>
      <c r="N41" s="14">
        <v>50.0</v>
      </c>
      <c r="O41" s="14" t="s">
        <v>189</v>
      </c>
      <c r="P41" s="15">
        <v>17898.0</v>
      </c>
      <c r="Q41" s="15">
        <f t="shared" si="13"/>
        <v>894900</v>
      </c>
      <c r="R41" s="7" t="s">
        <v>196</v>
      </c>
      <c r="T41" s="14" t="s">
        <v>197</v>
      </c>
      <c r="U41" s="14">
        <f>$U$39*0.12</f>
        <v>5311494</v>
      </c>
      <c r="AA41" s="43"/>
    </row>
    <row r="42">
      <c r="L42" s="19"/>
      <c r="M42" s="14" t="s">
        <v>106</v>
      </c>
      <c r="N42" s="15">
        <v>40.0</v>
      </c>
      <c r="O42" s="14" t="s">
        <v>189</v>
      </c>
      <c r="P42" s="15">
        <v>18750.0</v>
      </c>
      <c r="Q42" s="15">
        <f t="shared" si="13"/>
        <v>750000</v>
      </c>
      <c r="R42" s="7" t="s">
        <v>198</v>
      </c>
      <c r="T42" s="14" t="s">
        <v>199</v>
      </c>
      <c r="U42" s="14">
        <f>$U$39*0.05</f>
        <v>2213122.5</v>
      </c>
      <c r="AA42" s="43"/>
    </row>
    <row r="43">
      <c r="L43" s="13" t="s">
        <v>200</v>
      </c>
      <c r="M43" s="27"/>
      <c r="N43" s="27"/>
      <c r="O43" s="27"/>
      <c r="P43" s="27"/>
      <c r="Q43" s="28">
        <f>SUM(Q38:Q42)</f>
        <v>6562450</v>
      </c>
      <c r="R43" s="20"/>
      <c r="T43" s="14" t="s">
        <v>201</v>
      </c>
      <c r="U43" s="14">
        <f>$U$39*0.1</f>
        <v>4426245</v>
      </c>
      <c r="AA43" s="43"/>
    </row>
    <row r="44">
      <c r="L44" s="13" t="s">
        <v>202</v>
      </c>
      <c r="M44" s="14" t="s">
        <v>203</v>
      </c>
      <c r="N44" s="14">
        <v>1.0</v>
      </c>
      <c r="O44" s="14" t="s">
        <v>20</v>
      </c>
      <c r="P44" s="15">
        <v>2900000.0</v>
      </c>
      <c r="Q44" s="15">
        <f t="shared" ref="Q44:Q47" si="14">N44*P44</f>
        <v>2900000</v>
      </c>
      <c r="R44" s="7" t="s">
        <v>204</v>
      </c>
      <c r="T44" s="14" t="s">
        <v>205</v>
      </c>
      <c r="U44" s="44">
        <f>SUM(U39:U43)</f>
        <v>58869058.5</v>
      </c>
      <c r="AA44" s="43"/>
    </row>
    <row r="45">
      <c r="L45" s="37"/>
      <c r="M45" s="14" t="s">
        <v>206</v>
      </c>
      <c r="N45" s="14">
        <v>1.0</v>
      </c>
      <c r="O45" s="14" t="s">
        <v>20</v>
      </c>
      <c r="P45" s="15">
        <v>850000.0</v>
      </c>
      <c r="Q45" s="15">
        <f t="shared" si="14"/>
        <v>850000</v>
      </c>
      <c r="R45" s="7" t="s">
        <v>207</v>
      </c>
      <c r="AA45" s="43"/>
    </row>
    <row r="46">
      <c r="L46" s="37"/>
      <c r="M46" s="14" t="s">
        <v>208</v>
      </c>
      <c r="N46" s="14">
        <v>1.0</v>
      </c>
      <c r="O46" s="14" t="s">
        <v>20</v>
      </c>
      <c r="P46" s="15">
        <v>350000.0</v>
      </c>
      <c r="Q46" s="15">
        <f t="shared" si="14"/>
        <v>350000</v>
      </c>
      <c r="R46" s="7" t="s">
        <v>209</v>
      </c>
      <c r="T46" s="14" t="s">
        <v>210</v>
      </c>
      <c r="U46" s="44">
        <f>Z19</f>
        <v>27700000</v>
      </c>
      <c r="AA46" s="43"/>
    </row>
    <row r="47">
      <c r="L47" s="19"/>
      <c r="M47" s="14" t="s">
        <v>211</v>
      </c>
      <c r="N47" s="14">
        <v>1.0</v>
      </c>
      <c r="O47" s="14" t="s">
        <v>20</v>
      </c>
      <c r="P47" s="15">
        <v>2200000.0</v>
      </c>
      <c r="Q47" s="15">
        <f t="shared" si="14"/>
        <v>2200000</v>
      </c>
      <c r="R47" s="7" t="s">
        <v>212</v>
      </c>
      <c r="T47" s="14" t="s">
        <v>193</v>
      </c>
      <c r="U47" s="44">
        <f>Q43+Q48+U46</f>
        <v>40562450</v>
      </c>
      <c r="AA47" s="43"/>
    </row>
    <row r="48">
      <c r="L48" s="13" t="s">
        <v>213</v>
      </c>
      <c r="M48" s="27"/>
      <c r="N48" s="27"/>
      <c r="O48" s="27"/>
      <c r="P48" s="27"/>
      <c r="Q48" s="28">
        <f>SUM(Q44:Q47)</f>
        <v>6300000</v>
      </c>
      <c r="R48" s="20"/>
      <c r="T48" s="14" t="s">
        <v>195</v>
      </c>
      <c r="U48" s="44">
        <f>$U$47*0.06</f>
        <v>2433747</v>
      </c>
      <c r="AA48" s="43"/>
    </row>
    <row r="49">
      <c r="L49" s="13" t="s">
        <v>214</v>
      </c>
      <c r="M49" s="14" t="s">
        <v>195</v>
      </c>
      <c r="N49" s="37"/>
      <c r="O49" s="37"/>
      <c r="P49" s="45"/>
      <c r="Q49" s="15">
        <f>SUM($Q$48+$Q$43+$Q$37+$Q$29+$Q$22+$Q$11)*0.06</f>
        <v>45835347</v>
      </c>
      <c r="R49" s="7" t="s">
        <v>215</v>
      </c>
      <c r="T49" s="14" t="s">
        <v>197</v>
      </c>
      <c r="U49" s="44">
        <f>$U$47*0.12</f>
        <v>4867494</v>
      </c>
      <c r="AA49" s="43"/>
    </row>
    <row r="50">
      <c r="A50" s="10"/>
      <c r="L50" s="37"/>
      <c r="M50" s="14" t="s">
        <v>197</v>
      </c>
      <c r="N50" s="37"/>
      <c r="O50" s="37"/>
      <c r="P50" s="45"/>
      <c r="Q50" s="15">
        <f>SUM($Q$48+$Q$43+$Q$37+$Q$29+$Q$22+$Q$11)*0.12</f>
        <v>91670694</v>
      </c>
      <c r="R50" s="7" t="s">
        <v>216</v>
      </c>
      <c r="T50" s="14" t="s">
        <v>199</v>
      </c>
      <c r="U50" s="44">
        <f>$U$47*0.05</f>
        <v>2028122.5</v>
      </c>
      <c r="AA50" s="43"/>
    </row>
    <row r="51">
      <c r="L51" s="37"/>
      <c r="M51" s="14" t="s">
        <v>199</v>
      </c>
      <c r="N51" s="37"/>
      <c r="O51" s="37"/>
      <c r="P51" s="45"/>
      <c r="Q51" s="15">
        <f>SUM($Q$48+$Q$43+$Q$37+$Q$29+$Q$22+$Q$11)*0.05</f>
        <v>38196122.5</v>
      </c>
      <c r="R51" s="7" t="s">
        <v>217</v>
      </c>
      <c r="T51" s="14" t="s">
        <v>201</v>
      </c>
      <c r="U51" s="44">
        <f>$U$47*0.1</f>
        <v>4056245</v>
      </c>
      <c r="AA51" s="43"/>
    </row>
    <row r="52">
      <c r="L52" s="19"/>
      <c r="M52" s="14" t="s">
        <v>201</v>
      </c>
      <c r="N52" s="37"/>
      <c r="O52" s="37"/>
      <c r="P52" s="37"/>
      <c r="Q52" s="15">
        <f>SUM($Q$48+$Q$43+$Q$37+$Q$29+$Q$22+$Q$11)*0.1</f>
        <v>76392245</v>
      </c>
      <c r="R52" s="7" t="s">
        <v>218</v>
      </c>
      <c r="T52" s="14" t="s">
        <v>205</v>
      </c>
      <c r="U52" s="44">
        <f>SUM(U47:U51)</f>
        <v>53948058.5</v>
      </c>
      <c r="AA52" s="43"/>
    </row>
    <row r="53">
      <c r="L53" s="13" t="s">
        <v>219</v>
      </c>
      <c r="M53" s="27"/>
      <c r="N53" s="27"/>
      <c r="O53" s="27"/>
      <c r="P53" s="27"/>
      <c r="Q53" s="28">
        <f>SUM(Q11+Q22+Q29+Q37+Q43+Q48+Q49+Q50+Q51+Q52)</f>
        <v>1016016859</v>
      </c>
      <c r="R53" s="20" t="s">
        <v>220</v>
      </c>
      <c r="AA53" s="43"/>
    </row>
    <row r="54">
      <c r="T54" s="14" t="s">
        <v>221</v>
      </c>
      <c r="U54" s="44">
        <f>Z34</f>
        <v>572800000</v>
      </c>
      <c r="AA54" s="43"/>
    </row>
    <row r="55">
      <c r="L55" s="46" t="s">
        <v>222</v>
      </c>
      <c r="T55" s="14" t="s">
        <v>193</v>
      </c>
      <c r="U55" s="44">
        <f>Q43+Q48+U54</f>
        <v>585662450</v>
      </c>
      <c r="AA55" s="43"/>
    </row>
    <row r="56">
      <c r="T56" s="14" t="s">
        <v>195</v>
      </c>
      <c r="U56" s="44">
        <f>$U$55*0.06</f>
        <v>35139747</v>
      </c>
      <c r="AA56" s="43"/>
    </row>
    <row r="57">
      <c r="T57" s="14" t="s">
        <v>197</v>
      </c>
      <c r="U57" s="44">
        <f>$U$55*0.12</f>
        <v>70279494</v>
      </c>
      <c r="AA57" s="43"/>
    </row>
    <row r="58">
      <c r="T58" s="14" t="s">
        <v>199</v>
      </c>
      <c r="U58" s="44">
        <f>$U$55*0.05</f>
        <v>29283122.5</v>
      </c>
      <c r="AA58" s="43"/>
    </row>
    <row r="59">
      <c r="T59" s="14" t="s">
        <v>201</v>
      </c>
      <c r="U59" s="44">
        <f>$U$55*0.1</f>
        <v>58566245</v>
      </c>
      <c r="AA59" s="43"/>
    </row>
    <row r="60">
      <c r="T60" s="14" t="s">
        <v>223</v>
      </c>
      <c r="U60" s="44">
        <f>SUM(U55:U59)</f>
        <v>778931058.5</v>
      </c>
      <c r="AA60" s="43"/>
    </row>
    <row r="61">
      <c r="AA61" s="43"/>
    </row>
    <row r="62">
      <c r="AA62" s="43"/>
    </row>
    <row r="63">
      <c r="AA63" s="43"/>
    </row>
    <row r="64">
      <c r="AA64" s="43"/>
    </row>
    <row r="65">
      <c r="AA65" s="43"/>
    </row>
    <row r="66">
      <c r="AA66" s="43"/>
    </row>
    <row r="67">
      <c r="AA67" s="43"/>
    </row>
    <row r="68">
      <c r="AA68" s="43"/>
    </row>
    <row r="69">
      <c r="B69" s="47" t="s">
        <v>224</v>
      </c>
      <c r="C69" s="48" t="s">
        <v>225</v>
      </c>
      <c r="D69" s="2"/>
      <c r="E69" s="2"/>
      <c r="F69" s="2"/>
      <c r="G69" s="2"/>
      <c r="H69" s="3"/>
      <c r="AA69" s="43"/>
    </row>
    <row r="70">
      <c r="AA70" s="43"/>
    </row>
    <row r="71">
      <c r="AA71" s="43"/>
    </row>
    <row r="72">
      <c r="AA72" s="43"/>
    </row>
    <row r="73">
      <c r="AA73" s="43"/>
    </row>
    <row r="74">
      <c r="AA74" s="43"/>
    </row>
    <row r="75">
      <c r="AA75" s="43"/>
    </row>
    <row r="76">
      <c r="AA76" s="43"/>
    </row>
    <row r="77">
      <c r="AA77" s="43"/>
    </row>
    <row r="78">
      <c r="AA78" s="43"/>
    </row>
    <row r="79">
      <c r="AA79" s="43"/>
    </row>
    <row r="80">
      <c r="AA80" s="43"/>
    </row>
    <row r="81">
      <c r="AA81" s="43"/>
    </row>
    <row r="82">
      <c r="AA82" s="43"/>
    </row>
    <row r="83">
      <c r="AA83" s="43"/>
    </row>
    <row r="84">
      <c r="AA84" s="43"/>
    </row>
    <row r="85">
      <c r="AA85" s="43"/>
    </row>
    <row r="86">
      <c r="AA86" s="43"/>
    </row>
    <row r="87">
      <c r="AA87" s="43"/>
    </row>
    <row r="88">
      <c r="AA88" s="43"/>
    </row>
    <row r="89">
      <c r="AA89" s="43"/>
    </row>
    <row r="90">
      <c r="AA90" s="43"/>
    </row>
    <row r="91">
      <c r="AA91" s="43"/>
    </row>
    <row r="92">
      <c r="AA92" s="43"/>
    </row>
    <row r="93">
      <c r="AA93" s="43"/>
    </row>
    <row r="94">
      <c r="AA94" s="43"/>
    </row>
    <row r="95">
      <c r="AA95" s="43"/>
    </row>
    <row r="96">
      <c r="AA96" s="43"/>
    </row>
    <row r="97">
      <c r="AA97" s="43"/>
    </row>
    <row r="98">
      <c r="AA98" s="43"/>
    </row>
    <row r="99">
      <c r="AA99" s="43"/>
    </row>
    <row r="100">
      <c r="AA100" s="43"/>
    </row>
    <row r="101">
      <c r="AA101" s="43"/>
    </row>
    <row r="102">
      <c r="AA102" s="43"/>
    </row>
    <row r="103">
      <c r="AA103" s="43"/>
    </row>
    <row r="104">
      <c r="AA104" s="43"/>
    </row>
    <row r="105">
      <c r="AA105" s="43"/>
    </row>
    <row r="106">
      <c r="AA106" s="43"/>
    </row>
    <row r="107">
      <c r="AA107" s="43"/>
    </row>
    <row r="108">
      <c r="AA108" s="43"/>
    </row>
    <row r="109">
      <c r="AA109" s="43"/>
    </row>
    <row r="110">
      <c r="AA110" s="43"/>
    </row>
    <row r="111">
      <c r="AA111" s="43"/>
    </row>
    <row r="112">
      <c r="AA112" s="43"/>
    </row>
    <row r="113">
      <c r="AA113" s="43"/>
    </row>
    <row r="114">
      <c r="AA114" s="43"/>
    </row>
    <row r="115">
      <c r="AA115" s="43"/>
    </row>
    <row r="116">
      <c r="AA116" s="43"/>
    </row>
    <row r="117">
      <c r="AA117" s="43"/>
    </row>
    <row r="118">
      <c r="AA118" s="43"/>
    </row>
    <row r="119">
      <c r="AA119" s="43"/>
    </row>
    <row r="120">
      <c r="AA120" s="43"/>
    </row>
    <row r="121">
      <c r="AA121" s="43"/>
    </row>
    <row r="122">
      <c r="AA122" s="43"/>
    </row>
    <row r="123">
      <c r="AA123" s="43"/>
    </row>
    <row r="124">
      <c r="AA124" s="43"/>
    </row>
    <row r="125">
      <c r="AA125" s="43"/>
    </row>
    <row r="126">
      <c r="AA126" s="43"/>
    </row>
    <row r="127">
      <c r="AA127" s="43"/>
    </row>
    <row r="128">
      <c r="AA128" s="43"/>
    </row>
    <row r="129">
      <c r="AA129" s="43"/>
    </row>
    <row r="130">
      <c r="AA130" s="43"/>
    </row>
    <row r="131">
      <c r="AA131" s="43"/>
    </row>
    <row r="132">
      <c r="AA132" s="43"/>
    </row>
    <row r="133">
      <c r="AA133" s="43"/>
    </row>
    <row r="134">
      <c r="AA134" s="43"/>
    </row>
    <row r="135">
      <c r="AA135" s="43"/>
    </row>
    <row r="136">
      <c r="AA136" s="43"/>
    </row>
    <row r="137">
      <c r="AA137" s="43"/>
    </row>
    <row r="138">
      <c r="AA138" s="43"/>
    </row>
    <row r="139">
      <c r="AA139" s="43"/>
    </row>
    <row r="140">
      <c r="AA140" s="43"/>
    </row>
    <row r="141">
      <c r="AA141" s="43"/>
    </row>
    <row r="142">
      <c r="AA142" s="43"/>
    </row>
    <row r="143">
      <c r="AA143" s="43"/>
    </row>
    <row r="144">
      <c r="AA144" s="43"/>
    </row>
    <row r="145">
      <c r="AA145" s="43"/>
    </row>
    <row r="146">
      <c r="AA146" s="43"/>
    </row>
    <row r="147">
      <c r="AA147" s="43"/>
    </row>
    <row r="148">
      <c r="AA148" s="43"/>
    </row>
    <row r="149">
      <c r="AA149" s="43"/>
    </row>
    <row r="150">
      <c r="AA150" s="43"/>
    </row>
    <row r="151">
      <c r="AA151" s="43"/>
    </row>
    <row r="152">
      <c r="AA152" s="43"/>
    </row>
    <row r="153">
      <c r="AA153" s="43"/>
    </row>
    <row r="154">
      <c r="AA154" s="43"/>
    </row>
    <row r="155">
      <c r="AA155" s="43"/>
    </row>
    <row r="156">
      <c r="AA156" s="43"/>
    </row>
    <row r="157">
      <c r="AA157" s="43"/>
    </row>
    <row r="158">
      <c r="AA158" s="43"/>
    </row>
    <row r="159">
      <c r="AA159" s="43"/>
    </row>
    <row r="160">
      <c r="AA160" s="43"/>
    </row>
    <row r="161">
      <c r="AA161" s="43"/>
    </row>
    <row r="162">
      <c r="AA162" s="43"/>
    </row>
    <row r="163">
      <c r="AA163" s="43"/>
    </row>
    <row r="164">
      <c r="AA164" s="43"/>
    </row>
    <row r="165">
      <c r="AA165" s="43"/>
    </row>
    <row r="166">
      <c r="AA166" s="43"/>
    </row>
    <row r="167">
      <c r="AA167" s="43"/>
    </row>
    <row r="168">
      <c r="AA168" s="43"/>
    </row>
    <row r="169">
      <c r="AA169" s="43"/>
    </row>
    <row r="170">
      <c r="AA170" s="43"/>
    </row>
    <row r="171">
      <c r="AA171" s="43"/>
    </row>
    <row r="172">
      <c r="AA172" s="43"/>
    </row>
    <row r="173">
      <c r="AA173" s="43"/>
    </row>
    <row r="174">
      <c r="AA174" s="43"/>
    </row>
    <row r="175">
      <c r="AA175" s="43"/>
    </row>
    <row r="176">
      <c r="AA176" s="43"/>
    </row>
    <row r="177">
      <c r="AA177" s="43"/>
    </row>
    <row r="178">
      <c r="AA178" s="43"/>
    </row>
    <row r="179">
      <c r="AA179" s="43"/>
    </row>
    <row r="180">
      <c r="AA180" s="43"/>
    </row>
    <row r="181">
      <c r="AA181" s="43"/>
    </row>
    <row r="182">
      <c r="AA182" s="43"/>
    </row>
    <row r="183">
      <c r="AA183" s="43"/>
    </row>
    <row r="184">
      <c r="AA184" s="43"/>
    </row>
    <row r="185">
      <c r="AA185" s="43"/>
    </row>
    <row r="186">
      <c r="AA186" s="43"/>
    </row>
    <row r="187">
      <c r="AA187" s="43"/>
    </row>
    <row r="188">
      <c r="AA188" s="43"/>
    </row>
    <row r="189">
      <c r="AA189" s="43"/>
    </row>
    <row r="190">
      <c r="AA190" s="43"/>
    </row>
    <row r="191">
      <c r="AA191" s="43"/>
    </row>
    <row r="192">
      <c r="AA192" s="43"/>
    </row>
    <row r="193">
      <c r="AA193" s="43"/>
    </row>
    <row r="194">
      <c r="AA194" s="43"/>
    </row>
    <row r="195">
      <c r="AA195" s="43"/>
    </row>
    <row r="196">
      <c r="AA196" s="43"/>
    </row>
    <row r="197">
      <c r="AA197" s="43"/>
    </row>
    <row r="198">
      <c r="AA198" s="43"/>
    </row>
    <row r="199">
      <c r="AA199" s="43"/>
    </row>
    <row r="200">
      <c r="AA200" s="43"/>
    </row>
    <row r="201">
      <c r="AA201" s="43"/>
    </row>
    <row r="202">
      <c r="AA202" s="43"/>
    </row>
    <row r="203">
      <c r="AA203" s="43"/>
    </row>
    <row r="204">
      <c r="AA204" s="43"/>
    </row>
    <row r="205">
      <c r="AA205" s="43"/>
    </row>
    <row r="206">
      <c r="AA206" s="43"/>
    </row>
    <row r="207">
      <c r="AA207" s="43"/>
    </row>
    <row r="208">
      <c r="AA208" s="43"/>
    </row>
    <row r="209">
      <c r="AA209" s="43"/>
    </row>
    <row r="210">
      <c r="AA210" s="43"/>
    </row>
    <row r="211">
      <c r="AA211" s="43"/>
    </row>
    <row r="212">
      <c r="AA212" s="43"/>
    </row>
    <row r="213">
      <c r="AA213" s="43"/>
    </row>
    <row r="214">
      <c r="AA214" s="43"/>
    </row>
    <row r="215">
      <c r="AA215" s="43"/>
    </row>
    <row r="216">
      <c r="AA216" s="43"/>
    </row>
    <row r="217">
      <c r="AA217" s="43"/>
    </row>
    <row r="218">
      <c r="AA218" s="43"/>
    </row>
    <row r="219">
      <c r="AA219" s="43"/>
    </row>
    <row r="220">
      <c r="AA220" s="43"/>
    </row>
    <row r="221">
      <c r="AA221" s="43"/>
    </row>
    <row r="222">
      <c r="AA222" s="43"/>
    </row>
    <row r="223">
      <c r="AA223" s="43"/>
    </row>
    <row r="224">
      <c r="AA224" s="43"/>
    </row>
    <row r="225">
      <c r="AA225" s="43"/>
    </row>
    <row r="226">
      <c r="AA226" s="43"/>
    </row>
    <row r="227">
      <c r="AA227" s="43"/>
    </row>
    <row r="228">
      <c r="AA228" s="43"/>
    </row>
    <row r="229">
      <c r="AA229" s="43"/>
    </row>
    <row r="230">
      <c r="AA230" s="43"/>
    </row>
    <row r="231">
      <c r="AA231" s="43"/>
    </row>
    <row r="232">
      <c r="AA232" s="43"/>
    </row>
    <row r="233">
      <c r="AA233" s="43"/>
    </row>
    <row r="234">
      <c r="AA234" s="43"/>
    </row>
    <row r="235">
      <c r="AA235" s="43"/>
    </row>
    <row r="236">
      <c r="AA236" s="43"/>
    </row>
    <row r="237">
      <c r="AA237" s="43"/>
    </row>
    <row r="238">
      <c r="AA238" s="43"/>
    </row>
    <row r="239">
      <c r="AA239" s="43"/>
    </row>
    <row r="240">
      <c r="AA240" s="43"/>
    </row>
    <row r="241">
      <c r="AA241" s="43"/>
    </row>
    <row r="242">
      <c r="AA242" s="43"/>
    </row>
    <row r="243">
      <c r="AA243" s="43"/>
    </row>
    <row r="244">
      <c r="AA244" s="43"/>
    </row>
    <row r="245">
      <c r="AA245" s="43"/>
    </row>
    <row r="246">
      <c r="AA246" s="43"/>
    </row>
    <row r="247">
      <c r="AA247" s="43"/>
    </row>
    <row r="248">
      <c r="AA248" s="43"/>
    </row>
    <row r="249">
      <c r="AA249" s="43"/>
    </row>
    <row r="250">
      <c r="AA250" s="43"/>
    </row>
    <row r="251">
      <c r="AA251" s="43"/>
    </row>
    <row r="252">
      <c r="AA252" s="43"/>
    </row>
    <row r="253">
      <c r="AA253" s="43"/>
    </row>
    <row r="254">
      <c r="AA254" s="43"/>
    </row>
    <row r="255">
      <c r="AA255" s="43"/>
    </row>
    <row r="256">
      <c r="AA256" s="43"/>
    </row>
    <row r="257">
      <c r="AA257" s="43"/>
    </row>
    <row r="258">
      <c r="AA258" s="43"/>
    </row>
    <row r="259">
      <c r="AA259" s="43"/>
    </row>
    <row r="260">
      <c r="AA260" s="43"/>
    </row>
    <row r="261">
      <c r="AA261" s="43"/>
    </row>
    <row r="262">
      <c r="AA262" s="43"/>
    </row>
    <row r="263">
      <c r="AA263" s="43"/>
    </row>
    <row r="264">
      <c r="AA264" s="43"/>
    </row>
    <row r="265">
      <c r="AA265" s="43"/>
    </row>
    <row r="266">
      <c r="AA266" s="43"/>
    </row>
    <row r="267">
      <c r="AA267" s="43"/>
    </row>
    <row r="268">
      <c r="AA268" s="43"/>
    </row>
    <row r="269">
      <c r="AA269" s="43"/>
    </row>
    <row r="270">
      <c r="AA270" s="43"/>
    </row>
    <row r="271">
      <c r="AA271" s="43"/>
    </row>
    <row r="272">
      <c r="AA272" s="43"/>
    </row>
    <row r="273">
      <c r="AA273" s="43"/>
    </row>
    <row r="274">
      <c r="AA274" s="43"/>
    </row>
    <row r="275">
      <c r="AA275" s="43"/>
    </row>
    <row r="276">
      <c r="AA276" s="43"/>
    </row>
    <row r="277">
      <c r="AA277" s="43"/>
    </row>
    <row r="278">
      <c r="AA278" s="43"/>
    </row>
    <row r="279">
      <c r="AA279" s="43"/>
    </row>
    <row r="280">
      <c r="AA280" s="43"/>
    </row>
    <row r="281">
      <c r="AA281" s="43"/>
    </row>
    <row r="282">
      <c r="AA282" s="43"/>
    </row>
    <row r="283">
      <c r="AA283" s="43"/>
    </row>
    <row r="284">
      <c r="AA284" s="43"/>
    </row>
    <row r="285">
      <c r="AA285" s="43"/>
    </row>
    <row r="286">
      <c r="AA286" s="43"/>
    </row>
    <row r="287">
      <c r="AA287" s="43"/>
    </row>
    <row r="288">
      <c r="AA288" s="43"/>
    </row>
    <row r="289">
      <c r="AA289" s="43"/>
    </row>
    <row r="290">
      <c r="AA290" s="43"/>
    </row>
    <row r="291">
      <c r="AA291" s="43"/>
    </row>
    <row r="292">
      <c r="AA292" s="43"/>
    </row>
    <row r="293">
      <c r="AA293" s="43"/>
    </row>
    <row r="294">
      <c r="AA294" s="43"/>
    </row>
    <row r="295">
      <c r="AA295" s="43"/>
    </row>
    <row r="296">
      <c r="AA296" s="43"/>
    </row>
    <row r="297">
      <c r="AA297" s="43"/>
    </row>
    <row r="298">
      <c r="AA298" s="43"/>
    </row>
    <row r="299">
      <c r="AA299" s="43"/>
    </row>
    <row r="300">
      <c r="AA300" s="43"/>
    </row>
    <row r="301">
      <c r="AA301" s="43"/>
    </row>
    <row r="302">
      <c r="AA302" s="43"/>
    </row>
    <row r="303">
      <c r="AA303" s="43"/>
    </row>
    <row r="304">
      <c r="AA304" s="43"/>
    </row>
    <row r="305">
      <c r="AA305" s="43"/>
    </row>
    <row r="306">
      <c r="AA306" s="43"/>
    </row>
    <row r="307">
      <c r="AA307" s="43"/>
    </row>
    <row r="308">
      <c r="AA308" s="43"/>
    </row>
    <row r="309">
      <c r="AA309" s="43"/>
    </row>
    <row r="310">
      <c r="AA310" s="43"/>
    </row>
    <row r="311">
      <c r="AA311" s="43"/>
    </row>
    <row r="312">
      <c r="AA312" s="43"/>
    </row>
    <row r="313">
      <c r="AA313" s="43"/>
    </row>
    <row r="314">
      <c r="AA314" s="43"/>
    </row>
    <row r="315">
      <c r="AA315" s="43"/>
    </row>
    <row r="316">
      <c r="AA316" s="43"/>
    </row>
    <row r="317">
      <c r="AA317" s="43"/>
    </row>
    <row r="318">
      <c r="AA318" s="43"/>
    </row>
    <row r="319">
      <c r="AA319" s="43"/>
    </row>
    <row r="320">
      <c r="AA320" s="43"/>
    </row>
    <row r="321">
      <c r="AA321" s="43"/>
    </row>
    <row r="322">
      <c r="AA322" s="43"/>
    </row>
    <row r="323">
      <c r="AA323" s="43"/>
    </row>
    <row r="324">
      <c r="AA324" s="43"/>
    </row>
    <row r="325">
      <c r="AA325" s="43"/>
    </row>
    <row r="326">
      <c r="AA326" s="43"/>
    </row>
    <row r="327">
      <c r="AA327" s="43"/>
    </row>
    <row r="328">
      <c r="AA328" s="43"/>
    </row>
    <row r="329">
      <c r="AA329" s="43"/>
    </row>
    <row r="330">
      <c r="AA330" s="43"/>
    </row>
    <row r="331">
      <c r="AA331" s="43"/>
    </row>
    <row r="332">
      <c r="AA332" s="43"/>
    </row>
    <row r="333">
      <c r="AA333" s="43"/>
    </row>
    <row r="334">
      <c r="AA334" s="43"/>
    </row>
    <row r="335">
      <c r="AA335" s="43"/>
    </row>
    <row r="336">
      <c r="AA336" s="43"/>
    </row>
    <row r="337">
      <c r="AA337" s="43"/>
    </row>
    <row r="338">
      <c r="AA338" s="43"/>
    </row>
    <row r="339">
      <c r="AA339" s="43"/>
    </row>
    <row r="340">
      <c r="AA340" s="43"/>
    </row>
    <row r="341">
      <c r="AA341" s="43"/>
    </row>
    <row r="342">
      <c r="AA342" s="43"/>
    </row>
    <row r="343">
      <c r="AA343" s="43"/>
    </row>
    <row r="344">
      <c r="AA344" s="43"/>
    </row>
    <row r="345">
      <c r="AA345" s="43"/>
    </row>
    <row r="346">
      <c r="AA346" s="43"/>
    </row>
    <row r="347">
      <c r="AA347" s="43"/>
    </row>
    <row r="348">
      <c r="AA348" s="43"/>
    </row>
    <row r="349">
      <c r="AA349" s="43"/>
    </row>
    <row r="350">
      <c r="AA350" s="43"/>
    </row>
    <row r="351">
      <c r="AA351" s="43"/>
    </row>
    <row r="352">
      <c r="AA352" s="43"/>
    </row>
    <row r="353">
      <c r="AA353" s="43"/>
    </row>
    <row r="354">
      <c r="AA354" s="43"/>
    </row>
    <row r="355">
      <c r="AA355" s="43"/>
    </row>
    <row r="356">
      <c r="AA356" s="43"/>
    </row>
    <row r="357">
      <c r="AA357" s="43"/>
    </row>
    <row r="358">
      <c r="AA358" s="43"/>
    </row>
    <row r="359">
      <c r="AA359" s="43"/>
    </row>
    <row r="360">
      <c r="AA360" s="43"/>
    </row>
    <row r="361">
      <c r="AA361" s="43"/>
    </row>
    <row r="362">
      <c r="AA362" s="43"/>
    </row>
    <row r="363">
      <c r="AA363" s="43"/>
    </row>
    <row r="364">
      <c r="AA364" s="43"/>
    </row>
    <row r="365">
      <c r="AA365" s="43"/>
    </row>
    <row r="366">
      <c r="AA366" s="43"/>
    </row>
    <row r="367">
      <c r="AA367" s="43"/>
    </row>
    <row r="368">
      <c r="AA368" s="43"/>
    </row>
    <row r="369">
      <c r="AA369" s="43"/>
    </row>
    <row r="370">
      <c r="AA370" s="43"/>
    </row>
    <row r="371">
      <c r="AA371" s="43"/>
    </row>
    <row r="372">
      <c r="AA372" s="43"/>
    </row>
    <row r="373">
      <c r="AA373" s="43"/>
    </row>
    <row r="374">
      <c r="AA374" s="43"/>
    </row>
    <row r="375">
      <c r="AA375" s="43"/>
    </row>
    <row r="376">
      <c r="AA376" s="43"/>
    </row>
    <row r="377">
      <c r="AA377" s="43"/>
    </row>
    <row r="378">
      <c r="AA378" s="43"/>
    </row>
    <row r="379">
      <c r="AA379" s="43"/>
    </row>
    <row r="380">
      <c r="AA380" s="43"/>
    </row>
    <row r="381">
      <c r="AA381" s="43"/>
    </row>
    <row r="382">
      <c r="AA382" s="43"/>
    </row>
    <row r="383">
      <c r="AA383" s="43"/>
    </row>
    <row r="384">
      <c r="AA384" s="43"/>
    </row>
    <row r="385">
      <c r="AA385" s="43"/>
    </row>
    <row r="386">
      <c r="AA386" s="43"/>
    </row>
    <row r="387">
      <c r="AA387" s="43"/>
    </row>
    <row r="388">
      <c r="AA388" s="43"/>
    </row>
    <row r="389">
      <c r="AA389" s="43"/>
    </row>
    <row r="390">
      <c r="AA390" s="43"/>
    </row>
    <row r="391">
      <c r="AA391" s="43"/>
    </row>
    <row r="392">
      <c r="AA392" s="43"/>
    </row>
    <row r="393">
      <c r="AA393" s="43"/>
    </row>
    <row r="394">
      <c r="AA394" s="43"/>
    </row>
    <row r="395">
      <c r="AA395" s="43"/>
    </row>
    <row r="396">
      <c r="AA396" s="43"/>
    </row>
    <row r="397">
      <c r="AA397" s="43"/>
    </row>
    <row r="398">
      <c r="AA398" s="43"/>
    </row>
    <row r="399">
      <c r="AA399" s="43"/>
    </row>
    <row r="400">
      <c r="AA400" s="43"/>
    </row>
    <row r="401">
      <c r="AA401" s="43"/>
    </row>
    <row r="402">
      <c r="AA402" s="43"/>
    </row>
    <row r="403">
      <c r="AA403" s="43"/>
    </row>
    <row r="404">
      <c r="AA404" s="43"/>
    </row>
    <row r="405">
      <c r="AA405" s="43"/>
    </row>
    <row r="406">
      <c r="AA406" s="43"/>
    </row>
    <row r="407">
      <c r="AA407" s="43"/>
    </row>
    <row r="408">
      <c r="AA408" s="43"/>
    </row>
    <row r="409">
      <c r="AA409" s="43"/>
    </row>
    <row r="410">
      <c r="AA410" s="43"/>
    </row>
    <row r="411">
      <c r="AA411" s="43"/>
    </row>
    <row r="412">
      <c r="AA412" s="43"/>
    </row>
    <row r="413">
      <c r="AA413" s="43"/>
    </row>
    <row r="414">
      <c r="AA414" s="43"/>
    </row>
    <row r="415">
      <c r="AA415" s="43"/>
    </row>
    <row r="416">
      <c r="AA416" s="43"/>
    </row>
    <row r="417">
      <c r="AA417" s="43"/>
    </row>
    <row r="418">
      <c r="AA418" s="43"/>
    </row>
    <row r="419">
      <c r="AA419" s="43"/>
    </row>
    <row r="420">
      <c r="AA420" s="43"/>
    </row>
    <row r="421">
      <c r="AA421" s="43"/>
    </row>
    <row r="422">
      <c r="AA422" s="43"/>
    </row>
    <row r="423">
      <c r="AA423" s="43"/>
    </row>
    <row r="424">
      <c r="AA424" s="43"/>
    </row>
    <row r="425">
      <c r="AA425" s="43"/>
    </row>
    <row r="426">
      <c r="AA426" s="43"/>
    </row>
    <row r="427">
      <c r="AA427" s="43"/>
    </row>
    <row r="428">
      <c r="AA428" s="43"/>
    </row>
    <row r="429">
      <c r="AA429" s="43"/>
    </row>
    <row r="430">
      <c r="AA430" s="43"/>
    </row>
    <row r="431">
      <c r="AA431" s="43"/>
    </row>
    <row r="432">
      <c r="AA432" s="43"/>
    </row>
    <row r="433">
      <c r="AA433" s="43"/>
    </row>
    <row r="434">
      <c r="AA434" s="43"/>
    </row>
    <row r="435">
      <c r="AA435" s="43"/>
    </row>
    <row r="436">
      <c r="AA436" s="43"/>
    </row>
    <row r="437">
      <c r="AA437" s="43"/>
    </row>
    <row r="438">
      <c r="AA438" s="43"/>
    </row>
    <row r="439">
      <c r="AA439" s="43"/>
    </row>
    <row r="440">
      <c r="AA440" s="43"/>
    </row>
    <row r="441">
      <c r="AA441" s="43"/>
    </row>
    <row r="442">
      <c r="AA442" s="43"/>
    </row>
    <row r="443">
      <c r="AA443" s="43"/>
    </row>
    <row r="444">
      <c r="AA444" s="43"/>
    </row>
    <row r="445">
      <c r="AA445" s="43"/>
    </row>
    <row r="446">
      <c r="AA446" s="43"/>
    </row>
    <row r="447">
      <c r="AA447" s="43"/>
    </row>
    <row r="448">
      <c r="AA448" s="43"/>
    </row>
    <row r="449">
      <c r="AA449" s="43"/>
    </row>
    <row r="450">
      <c r="AA450" s="43"/>
    </row>
    <row r="451">
      <c r="AA451" s="43"/>
    </row>
    <row r="452">
      <c r="AA452" s="43"/>
    </row>
    <row r="453">
      <c r="AA453" s="43"/>
    </row>
    <row r="454">
      <c r="AA454" s="43"/>
    </row>
    <row r="455">
      <c r="AA455" s="43"/>
    </row>
    <row r="456">
      <c r="AA456" s="43"/>
    </row>
    <row r="457">
      <c r="AA457" s="43"/>
    </row>
    <row r="458">
      <c r="AA458" s="43"/>
    </row>
    <row r="459">
      <c r="AA459" s="43"/>
    </row>
    <row r="460">
      <c r="AA460" s="43"/>
    </row>
    <row r="461">
      <c r="AA461" s="43"/>
    </row>
    <row r="462">
      <c r="AA462" s="43"/>
    </row>
    <row r="463">
      <c r="AA463" s="43"/>
    </row>
    <row r="464">
      <c r="AA464" s="43"/>
    </row>
    <row r="465">
      <c r="AA465" s="43"/>
    </row>
    <row r="466">
      <c r="AA466" s="43"/>
    </row>
    <row r="467">
      <c r="AA467" s="43"/>
    </row>
    <row r="468">
      <c r="AA468" s="43"/>
    </row>
    <row r="469">
      <c r="AA469" s="43"/>
    </row>
    <row r="470">
      <c r="AA470" s="43"/>
    </row>
    <row r="471">
      <c r="AA471" s="43"/>
    </row>
    <row r="472">
      <c r="AA472" s="43"/>
    </row>
    <row r="473">
      <c r="AA473" s="43"/>
    </row>
    <row r="474">
      <c r="AA474" s="43"/>
    </row>
    <row r="475">
      <c r="AA475" s="43"/>
    </row>
    <row r="476">
      <c r="AA476" s="43"/>
    </row>
    <row r="477">
      <c r="AA477" s="43"/>
    </row>
    <row r="478">
      <c r="AA478" s="43"/>
    </row>
    <row r="479">
      <c r="AA479" s="43"/>
    </row>
    <row r="480">
      <c r="AA480" s="43"/>
    </row>
    <row r="481">
      <c r="AA481" s="43"/>
    </row>
    <row r="482">
      <c r="AA482" s="43"/>
    </row>
    <row r="483">
      <c r="AA483" s="43"/>
    </row>
    <row r="484">
      <c r="AA484" s="43"/>
    </row>
    <row r="485">
      <c r="AA485" s="43"/>
    </row>
    <row r="486">
      <c r="AA486" s="43"/>
    </row>
    <row r="487">
      <c r="AA487" s="43"/>
    </row>
    <row r="488">
      <c r="AA488" s="43"/>
    </row>
    <row r="489">
      <c r="AA489" s="43"/>
    </row>
    <row r="490">
      <c r="AA490" s="43"/>
    </row>
    <row r="491">
      <c r="AA491" s="43"/>
    </row>
    <row r="492">
      <c r="AA492" s="43"/>
    </row>
    <row r="493">
      <c r="AA493" s="43"/>
    </row>
    <row r="494">
      <c r="AA494" s="43"/>
    </row>
    <row r="495">
      <c r="AA495" s="43"/>
    </row>
    <row r="496">
      <c r="AA496" s="43"/>
    </row>
    <row r="497">
      <c r="AA497" s="43"/>
    </row>
    <row r="498">
      <c r="AA498" s="43"/>
    </row>
    <row r="499">
      <c r="AA499" s="43"/>
    </row>
    <row r="500">
      <c r="AA500" s="43"/>
    </row>
    <row r="501">
      <c r="AA501" s="43"/>
    </row>
    <row r="502">
      <c r="AA502" s="43"/>
    </row>
    <row r="503">
      <c r="AA503" s="43"/>
    </row>
    <row r="504">
      <c r="AA504" s="43"/>
    </row>
    <row r="505">
      <c r="AA505" s="43"/>
    </row>
    <row r="506">
      <c r="AA506" s="43"/>
    </row>
    <row r="507">
      <c r="AA507" s="43"/>
    </row>
    <row r="508">
      <c r="AA508" s="43"/>
    </row>
    <row r="509">
      <c r="AA509" s="43"/>
    </row>
    <row r="510">
      <c r="AA510" s="43"/>
    </row>
    <row r="511">
      <c r="AA511" s="43"/>
    </row>
    <row r="512">
      <c r="AA512" s="43"/>
    </row>
    <row r="513">
      <c r="AA513" s="43"/>
    </row>
    <row r="514">
      <c r="AA514" s="43"/>
    </row>
    <row r="515">
      <c r="AA515" s="43"/>
    </row>
    <row r="516">
      <c r="AA516" s="43"/>
    </row>
    <row r="517">
      <c r="AA517" s="43"/>
    </row>
    <row r="518">
      <c r="AA518" s="43"/>
    </row>
    <row r="519">
      <c r="AA519" s="43"/>
    </row>
    <row r="520">
      <c r="AA520" s="43"/>
    </row>
    <row r="521">
      <c r="AA521" s="43"/>
    </row>
    <row r="522">
      <c r="AA522" s="43"/>
    </row>
    <row r="523">
      <c r="AA523" s="43"/>
    </row>
    <row r="524">
      <c r="AA524" s="43"/>
    </row>
    <row r="525">
      <c r="AA525" s="43"/>
    </row>
    <row r="526">
      <c r="AA526" s="43"/>
    </row>
    <row r="527">
      <c r="AA527" s="43"/>
    </row>
    <row r="528">
      <c r="AA528" s="43"/>
    </row>
    <row r="529">
      <c r="AA529" s="43"/>
    </row>
    <row r="530">
      <c r="AA530" s="43"/>
    </row>
    <row r="531">
      <c r="AA531" s="43"/>
    </row>
    <row r="532">
      <c r="AA532" s="43"/>
    </row>
    <row r="533">
      <c r="AA533" s="43"/>
    </row>
    <row r="534">
      <c r="AA534" s="43"/>
    </row>
    <row r="535">
      <c r="AA535" s="43"/>
    </row>
    <row r="536">
      <c r="AA536" s="43"/>
    </row>
    <row r="537">
      <c r="AA537" s="43"/>
    </row>
    <row r="538">
      <c r="AA538" s="43"/>
    </row>
    <row r="539">
      <c r="AA539" s="43"/>
    </row>
    <row r="540">
      <c r="AA540" s="43"/>
    </row>
    <row r="541">
      <c r="AA541" s="43"/>
    </row>
    <row r="542">
      <c r="AA542" s="43"/>
    </row>
    <row r="543">
      <c r="AA543" s="43"/>
    </row>
    <row r="544">
      <c r="AA544" s="43"/>
    </row>
    <row r="545">
      <c r="AA545" s="43"/>
    </row>
    <row r="546">
      <c r="AA546" s="43"/>
    </row>
    <row r="547">
      <c r="AA547" s="43"/>
    </row>
    <row r="548">
      <c r="AA548" s="43"/>
    </row>
    <row r="549">
      <c r="AA549" s="43"/>
    </row>
    <row r="550">
      <c r="AA550" s="43"/>
    </row>
    <row r="551">
      <c r="AA551" s="43"/>
    </row>
    <row r="552">
      <c r="AA552" s="43"/>
    </row>
    <row r="553">
      <c r="AA553" s="43"/>
    </row>
    <row r="554">
      <c r="AA554" s="43"/>
    </row>
    <row r="555">
      <c r="AA555" s="43"/>
    </row>
    <row r="556">
      <c r="AA556" s="43"/>
    </row>
    <row r="557">
      <c r="AA557" s="43"/>
    </row>
    <row r="558">
      <c r="AA558" s="43"/>
    </row>
    <row r="559">
      <c r="AA559" s="43"/>
    </row>
    <row r="560">
      <c r="AA560" s="43"/>
    </row>
    <row r="561">
      <c r="AA561" s="43"/>
    </row>
    <row r="562">
      <c r="AA562" s="43"/>
    </row>
    <row r="563">
      <c r="AA563" s="43"/>
    </row>
    <row r="564">
      <c r="AA564" s="43"/>
    </row>
    <row r="565">
      <c r="AA565" s="43"/>
    </row>
    <row r="566">
      <c r="AA566" s="43"/>
    </row>
    <row r="567">
      <c r="AA567" s="43"/>
    </row>
    <row r="568">
      <c r="AA568" s="43"/>
    </row>
    <row r="569">
      <c r="AA569" s="43"/>
    </row>
    <row r="570">
      <c r="AA570" s="43"/>
    </row>
    <row r="571">
      <c r="AA571" s="43"/>
    </row>
    <row r="572">
      <c r="AA572" s="43"/>
    </row>
    <row r="573">
      <c r="AA573" s="43"/>
    </row>
    <row r="574">
      <c r="AA574" s="43"/>
    </row>
    <row r="575">
      <c r="AA575" s="43"/>
    </row>
    <row r="576">
      <c r="AA576" s="43"/>
    </row>
    <row r="577">
      <c r="AA577" s="43"/>
    </row>
    <row r="578">
      <c r="AA578" s="43"/>
    </row>
    <row r="579">
      <c r="AA579" s="43"/>
    </row>
    <row r="580">
      <c r="AA580" s="43"/>
    </row>
    <row r="581">
      <c r="AA581" s="43"/>
    </row>
    <row r="582">
      <c r="AA582" s="43"/>
    </row>
    <row r="583">
      <c r="AA583" s="43"/>
    </row>
    <row r="584">
      <c r="AA584" s="43"/>
    </row>
    <row r="585">
      <c r="AA585" s="43"/>
    </row>
    <row r="586">
      <c r="AA586" s="43"/>
    </row>
    <row r="587">
      <c r="AA587" s="43"/>
    </row>
    <row r="588">
      <c r="AA588" s="43"/>
    </row>
    <row r="589">
      <c r="AA589" s="43"/>
    </row>
    <row r="590">
      <c r="AA590" s="43"/>
    </row>
    <row r="591">
      <c r="AA591" s="43"/>
    </row>
    <row r="592">
      <c r="AA592" s="43"/>
    </row>
    <row r="593">
      <c r="AA593" s="43"/>
    </row>
    <row r="594">
      <c r="AA594" s="43"/>
    </row>
    <row r="595">
      <c r="AA595" s="43"/>
    </row>
    <row r="596">
      <c r="AA596" s="43"/>
    </row>
    <row r="597">
      <c r="AA597" s="43"/>
    </row>
    <row r="598">
      <c r="AA598" s="43"/>
    </row>
    <row r="599">
      <c r="AA599" s="43"/>
    </row>
    <row r="600">
      <c r="AA600" s="43"/>
    </row>
    <row r="601">
      <c r="AA601" s="43"/>
    </row>
    <row r="602">
      <c r="AA602" s="43"/>
    </row>
    <row r="603">
      <c r="AA603" s="43"/>
    </row>
    <row r="604">
      <c r="AA604" s="43"/>
    </row>
    <row r="605">
      <c r="AA605" s="43"/>
    </row>
    <row r="606">
      <c r="AA606" s="43"/>
    </row>
    <row r="607">
      <c r="AA607" s="43"/>
    </row>
    <row r="608">
      <c r="AA608" s="43"/>
    </row>
    <row r="609">
      <c r="AA609" s="43"/>
    </row>
    <row r="610">
      <c r="AA610" s="43"/>
    </row>
    <row r="611">
      <c r="AA611" s="43"/>
    </row>
    <row r="612">
      <c r="AA612" s="43"/>
    </row>
    <row r="613">
      <c r="AA613" s="43"/>
    </row>
    <row r="614">
      <c r="AA614" s="43"/>
    </row>
    <row r="615">
      <c r="AA615" s="43"/>
    </row>
    <row r="616">
      <c r="AA616" s="43"/>
    </row>
    <row r="617">
      <c r="AA617" s="43"/>
    </row>
    <row r="618">
      <c r="AA618" s="43"/>
    </row>
    <row r="619">
      <c r="AA619" s="43"/>
    </row>
    <row r="620">
      <c r="AA620" s="43"/>
    </row>
    <row r="621">
      <c r="AA621" s="43"/>
    </row>
    <row r="622">
      <c r="AA622" s="43"/>
    </row>
    <row r="623">
      <c r="AA623" s="43"/>
    </row>
    <row r="624">
      <c r="AA624" s="43"/>
    </row>
    <row r="625">
      <c r="AA625" s="43"/>
    </row>
    <row r="626">
      <c r="AA626" s="43"/>
    </row>
    <row r="627">
      <c r="AA627" s="43"/>
    </row>
    <row r="628">
      <c r="AA628" s="43"/>
    </row>
    <row r="629">
      <c r="AA629" s="43"/>
    </row>
    <row r="630">
      <c r="AA630" s="43"/>
    </row>
    <row r="631">
      <c r="AA631" s="43"/>
    </row>
    <row r="632">
      <c r="AA632" s="43"/>
    </row>
    <row r="633">
      <c r="AA633" s="43"/>
    </row>
    <row r="634">
      <c r="AA634" s="43"/>
    </row>
    <row r="635">
      <c r="AA635" s="43"/>
    </row>
    <row r="636">
      <c r="AA636" s="43"/>
    </row>
    <row r="637">
      <c r="AA637" s="43"/>
    </row>
    <row r="638">
      <c r="AA638" s="43"/>
    </row>
    <row r="639">
      <c r="AA639" s="43"/>
    </row>
    <row r="640">
      <c r="AA640" s="43"/>
    </row>
    <row r="641">
      <c r="AA641" s="43"/>
    </row>
    <row r="642">
      <c r="AA642" s="43"/>
    </row>
    <row r="643">
      <c r="AA643" s="43"/>
    </row>
    <row r="644">
      <c r="AA644" s="43"/>
    </row>
    <row r="645">
      <c r="AA645" s="43"/>
    </row>
    <row r="646">
      <c r="AA646" s="43"/>
    </row>
    <row r="647">
      <c r="AA647" s="43"/>
    </row>
    <row r="648">
      <c r="AA648" s="43"/>
    </row>
    <row r="649">
      <c r="AA649" s="43"/>
    </row>
    <row r="650">
      <c r="AA650" s="43"/>
    </row>
    <row r="651">
      <c r="AA651" s="43"/>
    </row>
    <row r="652">
      <c r="AA652" s="43"/>
    </row>
    <row r="653">
      <c r="AA653" s="43"/>
    </row>
    <row r="654">
      <c r="AA654" s="43"/>
    </row>
    <row r="655">
      <c r="AA655" s="43"/>
    </row>
    <row r="656">
      <c r="AA656" s="43"/>
    </row>
    <row r="657">
      <c r="AA657" s="43"/>
    </row>
    <row r="658">
      <c r="AA658" s="43"/>
    </row>
    <row r="659">
      <c r="AA659" s="43"/>
    </row>
    <row r="660">
      <c r="AA660" s="43"/>
    </row>
    <row r="661">
      <c r="AA661" s="43"/>
    </row>
    <row r="662">
      <c r="AA662" s="43"/>
    </row>
    <row r="663">
      <c r="AA663" s="43"/>
    </row>
    <row r="664">
      <c r="AA664" s="43"/>
    </row>
    <row r="665">
      <c r="AA665" s="43"/>
    </row>
    <row r="666">
      <c r="AA666" s="43"/>
    </row>
    <row r="667">
      <c r="AA667" s="43"/>
    </row>
    <row r="668">
      <c r="AA668" s="43"/>
    </row>
    <row r="669">
      <c r="AA669" s="43"/>
    </row>
    <row r="670">
      <c r="AA670" s="43"/>
    </row>
    <row r="671">
      <c r="AA671" s="43"/>
    </row>
    <row r="672">
      <c r="AA672" s="43"/>
    </row>
    <row r="673">
      <c r="AA673" s="43"/>
    </row>
    <row r="674">
      <c r="AA674" s="43"/>
    </row>
    <row r="675">
      <c r="AA675" s="43"/>
    </row>
    <row r="676">
      <c r="AA676" s="43"/>
    </row>
    <row r="677">
      <c r="AA677" s="43"/>
    </row>
    <row r="678">
      <c r="AA678" s="43"/>
    </row>
    <row r="679">
      <c r="AA679" s="43"/>
    </row>
    <row r="680">
      <c r="AA680" s="43"/>
    </row>
    <row r="681">
      <c r="AA681" s="43"/>
    </row>
    <row r="682">
      <c r="AA682" s="43"/>
    </row>
    <row r="683">
      <c r="AA683" s="43"/>
    </row>
    <row r="684">
      <c r="AA684" s="43"/>
    </row>
    <row r="685">
      <c r="AA685" s="43"/>
    </row>
    <row r="686">
      <c r="AA686" s="43"/>
    </row>
    <row r="687">
      <c r="AA687" s="43"/>
    </row>
    <row r="688">
      <c r="AA688" s="43"/>
    </row>
    <row r="689">
      <c r="AA689" s="43"/>
    </row>
    <row r="690">
      <c r="AA690" s="43"/>
    </row>
    <row r="691">
      <c r="AA691" s="43"/>
    </row>
    <row r="692">
      <c r="AA692" s="43"/>
    </row>
    <row r="693">
      <c r="AA693" s="43"/>
    </row>
    <row r="694">
      <c r="AA694" s="43"/>
    </row>
    <row r="695">
      <c r="AA695" s="43"/>
    </row>
    <row r="696">
      <c r="AA696" s="43"/>
    </row>
    <row r="697">
      <c r="AA697" s="43"/>
    </row>
    <row r="698">
      <c r="AA698" s="43"/>
    </row>
    <row r="699">
      <c r="AA699" s="43"/>
    </row>
    <row r="700">
      <c r="AA700" s="43"/>
    </row>
    <row r="701">
      <c r="AA701" s="43"/>
    </row>
    <row r="702">
      <c r="AA702" s="43"/>
    </row>
    <row r="703">
      <c r="AA703" s="43"/>
    </row>
    <row r="704">
      <c r="AA704" s="43"/>
    </row>
    <row r="705">
      <c r="AA705" s="43"/>
    </row>
    <row r="706">
      <c r="AA706" s="43"/>
    </row>
    <row r="707">
      <c r="AA707" s="43"/>
    </row>
    <row r="708">
      <c r="AA708" s="43"/>
    </row>
    <row r="709">
      <c r="AA709" s="43"/>
    </row>
    <row r="710">
      <c r="AA710" s="43"/>
    </row>
    <row r="711">
      <c r="AA711" s="43"/>
    </row>
    <row r="712">
      <c r="AA712" s="43"/>
    </row>
    <row r="713">
      <c r="AA713" s="43"/>
    </row>
    <row r="714">
      <c r="AA714" s="43"/>
    </row>
    <row r="715">
      <c r="AA715" s="43"/>
    </row>
    <row r="716">
      <c r="AA716" s="43"/>
    </row>
    <row r="717">
      <c r="AA717" s="43"/>
    </row>
    <row r="718">
      <c r="AA718" s="43"/>
    </row>
    <row r="719">
      <c r="AA719" s="43"/>
    </row>
    <row r="720">
      <c r="AA720" s="43"/>
    </row>
    <row r="721">
      <c r="AA721" s="43"/>
    </row>
    <row r="722">
      <c r="AA722" s="43"/>
    </row>
    <row r="723">
      <c r="AA723" s="43"/>
    </row>
    <row r="724">
      <c r="AA724" s="43"/>
    </row>
    <row r="725">
      <c r="AA725" s="43"/>
    </row>
    <row r="726">
      <c r="AA726" s="43"/>
    </row>
    <row r="727">
      <c r="AA727" s="43"/>
    </row>
    <row r="728">
      <c r="AA728" s="43"/>
    </row>
    <row r="729">
      <c r="AA729" s="43"/>
    </row>
    <row r="730">
      <c r="AA730" s="43"/>
    </row>
    <row r="731">
      <c r="AA731" s="43"/>
    </row>
    <row r="732">
      <c r="AA732" s="43"/>
    </row>
    <row r="733">
      <c r="AA733" s="43"/>
    </row>
    <row r="734">
      <c r="AA734" s="43"/>
    </row>
    <row r="735">
      <c r="AA735" s="43"/>
    </row>
    <row r="736">
      <c r="AA736" s="43"/>
    </row>
    <row r="737">
      <c r="AA737" s="43"/>
    </row>
    <row r="738">
      <c r="AA738" s="43"/>
    </row>
    <row r="739">
      <c r="AA739" s="43"/>
    </row>
    <row r="740">
      <c r="AA740" s="43"/>
    </row>
    <row r="741">
      <c r="AA741" s="43"/>
    </row>
    <row r="742">
      <c r="AA742" s="43"/>
    </row>
    <row r="743">
      <c r="AA743" s="43"/>
    </row>
    <row r="744">
      <c r="AA744" s="43"/>
    </row>
    <row r="745">
      <c r="AA745" s="43"/>
    </row>
    <row r="746">
      <c r="AA746" s="43"/>
    </row>
    <row r="747">
      <c r="AA747" s="43"/>
    </row>
    <row r="748">
      <c r="AA748" s="43"/>
    </row>
    <row r="749">
      <c r="AA749" s="43"/>
    </row>
    <row r="750">
      <c r="AA750" s="43"/>
    </row>
    <row r="751">
      <c r="AA751" s="43"/>
    </row>
    <row r="752">
      <c r="AA752" s="43"/>
    </row>
    <row r="753">
      <c r="AA753" s="43"/>
    </row>
    <row r="754">
      <c r="AA754" s="43"/>
    </row>
    <row r="755">
      <c r="AA755" s="43"/>
    </row>
    <row r="756">
      <c r="AA756" s="43"/>
    </row>
    <row r="757">
      <c r="AA757" s="43"/>
    </row>
    <row r="758">
      <c r="AA758" s="43"/>
    </row>
    <row r="759">
      <c r="AA759" s="43"/>
    </row>
    <row r="760">
      <c r="AA760" s="43"/>
    </row>
    <row r="761">
      <c r="AA761" s="43"/>
    </row>
    <row r="762">
      <c r="AA762" s="43"/>
    </row>
    <row r="763">
      <c r="AA763" s="43"/>
    </row>
    <row r="764">
      <c r="AA764" s="43"/>
    </row>
    <row r="765">
      <c r="AA765" s="43"/>
    </row>
    <row r="766">
      <c r="AA766" s="43"/>
    </row>
    <row r="767">
      <c r="AA767" s="43"/>
    </row>
    <row r="768">
      <c r="AA768" s="43"/>
    </row>
    <row r="769">
      <c r="AA769" s="43"/>
    </row>
    <row r="770">
      <c r="AA770" s="43"/>
    </row>
    <row r="771">
      <c r="AA771" s="43"/>
    </row>
    <row r="772">
      <c r="AA772" s="43"/>
    </row>
    <row r="773">
      <c r="AA773" s="43"/>
    </row>
    <row r="774">
      <c r="AA774" s="43"/>
    </row>
    <row r="775">
      <c r="AA775" s="43"/>
    </row>
    <row r="776">
      <c r="AA776" s="43"/>
    </row>
    <row r="777">
      <c r="AA777" s="43"/>
    </row>
    <row r="778">
      <c r="AA778" s="43"/>
    </row>
    <row r="779">
      <c r="AA779" s="43"/>
    </row>
    <row r="780">
      <c r="AA780" s="43"/>
    </row>
    <row r="781">
      <c r="AA781" s="43"/>
    </row>
    <row r="782">
      <c r="AA782" s="43"/>
    </row>
    <row r="783">
      <c r="AA783" s="43"/>
    </row>
    <row r="784">
      <c r="AA784" s="43"/>
    </row>
    <row r="785">
      <c r="AA785" s="43"/>
    </row>
    <row r="786">
      <c r="AA786" s="43"/>
    </row>
    <row r="787">
      <c r="AA787" s="43"/>
    </row>
    <row r="788">
      <c r="AA788" s="43"/>
    </row>
    <row r="789">
      <c r="AA789" s="43"/>
    </row>
    <row r="790">
      <c r="AA790" s="43"/>
    </row>
    <row r="791">
      <c r="AA791" s="43"/>
    </row>
    <row r="792">
      <c r="AA792" s="43"/>
    </row>
    <row r="793">
      <c r="AA793" s="43"/>
    </row>
    <row r="794">
      <c r="AA794" s="43"/>
    </row>
    <row r="795">
      <c r="AA795" s="43"/>
    </row>
    <row r="796">
      <c r="AA796" s="43"/>
    </row>
    <row r="797">
      <c r="AA797" s="43"/>
    </row>
    <row r="798">
      <c r="AA798" s="43"/>
    </row>
    <row r="799">
      <c r="AA799" s="43"/>
    </row>
    <row r="800">
      <c r="AA800" s="43"/>
    </row>
    <row r="801">
      <c r="AA801" s="43"/>
    </row>
    <row r="802">
      <c r="AA802" s="43"/>
    </row>
    <row r="803">
      <c r="AA803" s="43"/>
    </row>
    <row r="804">
      <c r="AA804" s="43"/>
    </row>
    <row r="805">
      <c r="AA805" s="43"/>
    </row>
    <row r="806">
      <c r="AA806" s="43"/>
    </row>
    <row r="807">
      <c r="AA807" s="43"/>
    </row>
    <row r="808">
      <c r="AA808" s="43"/>
    </row>
    <row r="809">
      <c r="AA809" s="43"/>
    </row>
    <row r="810">
      <c r="AA810" s="43"/>
    </row>
    <row r="811">
      <c r="AA811" s="43"/>
    </row>
    <row r="812">
      <c r="AA812" s="43"/>
    </row>
    <row r="813">
      <c r="AA813" s="43"/>
    </row>
    <row r="814">
      <c r="AA814" s="43"/>
    </row>
    <row r="815">
      <c r="AA815" s="43"/>
    </row>
    <row r="816">
      <c r="AA816" s="43"/>
    </row>
    <row r="817">
      <c r="AA817" s="43"/>
    </row>
    <row r="818">
      <c r="AA818" s="43"/>
    </row>
    <row r="819">
      <c r="AA819" s="43"/>
    </row>
    <row r="820">
      <c r="AA820" s="43"/>
    </row>
    <row r="821">
      <c r="AA821" s="43"/>
    </row>
    <row r="822">
      <c r="AA822" s="43"/>
    </row>
    <row r="823">
      <c r="AA823" s="43"/>
    </row>
    <row r="824">
      <c r="AA824" s="43"/>
    </row>
    <row r="825">
      <c r="AA825" s="43"/>
    </row>
    <row r="826">
      <c r="AA826" s="43"/>
    </row>
    <row r="827">
      <c r="AA827" s="43"/>
    </row>
    <row r="828">
      <c r="AA828" s="43"/>
    </row>
    <row r="829">
      <c r="AA829" s="43"/>
    </row>
    <row r="830">
      <c r="AA830" s="43"/>
    </row>
    <row r="831">
      <c r="AA831" s="43"/>
    </row>
    <row r="832">
      <c r="AA832" s="43"/>
    </row>
    <row r="833">
      <c r="AA833" s="43"/>
    </row>
    <row r="834">
      <c r="AA834" s="43"/>
    </row>
    <row r="835">
      <c r="AA835" s="43"/>
    </row>
    <row r="836">
      <c r="AA836" s="43"/>
    </row>
    <row r="837">
      <c r="AA837" s="43"/>
    </row>
    <row r="838">
      <c r="AA838" s="43"/>
    </row>
    <row r="839">
      <c r="AA839" s="43"/>
    </row>
    <row r="840">
      <c r="AA840" s="43"/>
    </row>
    <row r="841">
      <c r="AA841" s="43"/>
    </row>
    <row r="842">
      <c r="AA842" s="43"/>
    </row>
    <row r="843">
      <c r="AA843" s="43"/>
    </row>
    <row r="844">
      <c r="AA844" s="43"/>
    </row>
    <row r="845">
      <c r="AA845" s="43"/>
    </row>
    <row r="846">
      <c r="AA846" s="43"/>
    </row>
    <row r="847">
      <c r="AA847" s="43"/>
    </row>
    <row r="848">
      <c r="AA848" s="43"/>
    </row>
    <row r="849">
      <c r="AA849" s="43"/>
    </row>
    <row r="850">
      <c r="AA850" s="43"/>
    </row>
    <row r="851">
      <c r="AA851" s="43"/>
    </row>
    <row r="852">
      <c r="AA852" s="43"/>
    </row>
    <row r="853">
      <c r="AA853" s="43"/>
    </row>
    <row r="854">
      <c r="AA854" s="43"/>
    </row>
    <row r="855">
      <c r="AA855" s="43"/>
    </row>
    <row r="856">
      <c r="AA856" s="43"/>
    </row>
    <row r="857">
      <c r="AA857" s="43"/>
    </row>
    <row r="858">
      <c r="AA858" s="43"/>
    </row>
    <row r="859">
      <c r="AA859" s="43"/>
    </row>
    <row r="860">
      <c r="AA860" s="43"/>
    </row>
    <row r="861">
      <c r="AA861" s="43"/>
    </row>
    <row r="862">
      <c r="AA862" s="43"/>
    </row>
    <row r="863">
      <c r="AA863" s="43"/>
    </row>
    <row r="864">
      <c r="AA864" s="43"/>
    </row>
    <row r="865">
      <c r="AA865" s="43"/>
    </row>
    <row r="866">
      <c r="AA866" s="43"/>
    </row>
    <row r="867">
      <c r="AA867" s="43"/>
    </row>
    <row r="868">
      <c r="AA868" s="43"/>
    </row>
    <row r="869">
      <c r="AA869" s="43"/>
    </row>
    <row r="870">
      <c r="AA870" s="43"/>
    </row>
    <row r="871">
      <c r="AA871" s="43"/>
    </row>
    <row r="872">
      <c r="AA872" s="43"/>
    </row>
    <row r="873">
      <c r="AA873" s="43"/>
    </row>
    <row r="874">
      <c r="AA874" s="43"/>
    </row>
    <row r="875">
      <c r="AA875" s="43"/>
    </row>
    <row r="876">
      <c r="AA876" s="43"/>
    </row>
    <row r="877">
      <c r="AA877" s="43"/>
    </row>
    <row r="878">
      <c r="AA878" s="43"/>
    </row>
    <row r="879">
      <c r="AA879" s="43"/>
    </row>
    <row r="880">
      <c r="AA880" s="43"/>
    </row>
    <row r="881">
      <c r="AA881" s="43"/>
    </row>
    <row r="882">
      <c r="AA882" s="43"/>
    </row>
    <row r="883">
      <c r="AA883" s="43"/>
    </row>
    <row r="884">
      <c r="AA884" s="43"/>
    </row>
    <row r="885">
      <c r="AA885" s="43"/>
    </row>
    <row r="886">
      <c r="AA886" s="43"/>
    </row>
    <row r="887">
      <c r="AA887" s="43"/>
    </row>
    <row r="888">
      <c r="AA888" s="43"/>
    </row>
    <row r="889">
      <c r="AA889" s="43"/>
    </row>
    <row r="890">
      <c r="AA890" s="43"/>
    </row>
    <row r="891">
      <c r="AA891" s="43"/>
    </row>
    <row r="892">
      <c r="AA892" s="43"/>
    </row>
    <row r="893">
      <c r="AA893" s="43"/>
    </row>
    <row r="894">
      <c r="AA894" s="43"/>
    </row>
    <row r="895">
      <c r="AA895" s="43"/>
    </row>
    <row r="896">
      <c r="AA896" s="43"/>
    </row>
    <row r="897">
      <c r="AA897" s="43"/>
    </row>
    <row r="898">
      <c r="AA898" s="43"/>
    </row>
    <row r="899">
      <c r="AA899" s="43"/>
    </row>
    <row r="900">
      <c r="AA900" s="43"/>
    </row>
    <row r="901">
      <c r="AA901" s="43"/>
    </row>
    <row r="902">
      <c r="AA902" s="43"/>
    </row>
    <row r="903">
      <c r="AA903" s="43"/>
    </row>
    <row r="904">
      <c r="AA904" s="43"/>
    </row>
    <row r="905">
      <c r="AA905" s="43"/>
    </row>
    <row r="906">
      <c r="AA906" s="43"/>
    </row>
    <row r="907">
      <c r="AA907" s="43"/>
    </row>
    <row r="908">
      <c r="AA908" s="43"/>
    </row>
    <row r="909">
      <c r="AA909" s="43"/>
    </row>
    <row r="910">
      <c r="AA910" s="43"/>
    </row>
    <row r="911">
      <c r="AA911" s="43"/>
    </row>
    <row r="912">
      <c r="AA912" s="43"/>
    </row>
    <row r="913">
      <c r="AA913" s="43"/>
    </row>
    <row r="914">
      <c r="AA914" s="43"/>
    </row>
    <row r="915">
      <c r="AA915" s="43"/>
    </row>
    <row r="916">
      <c r="AA916" s="43"/>
    </row>
    <row r="917">
      <c r="AA917" s="43"/>
    </row>
    <row r="918">
      <c r="AA918" s="43"/>
    </row>
    <row r="919">
      <c r="AA919" s="43"/>
    </row>
    <row r="920">
      <c r="AA920" s="43"/>
    </row>
    <row r="921">
      <c r="AA921" s="43"/>
    </row>
    <row r="922">
      <c r="AA922" s="43"/>
    </row>
    <row r="923">
      <c r="AA923" s="43"/>
    </row>
    <row r="924">
      <c r="AA924" s="43"/>
    </row>
    <row r="925">
      <c r="AA925" s="43"/>
    </row>
    <row r="926">
      <c r="AA926" s="43"/>
    </row>
    <row r="927">
      <c r="AA927" s="43"/>
    </row>
    <row r="928">
      <c r="AA928" s="43"/>
    </row>
    <row r="929">
      <c r="AA929" s="43"/>
    </row>
    <row r="930">
      <c r="AA930" s="43"/>
    </row>
    <row r="931">
      <c r="AA931" s="43"/>
    </row>
    <row r="932">
      <c r="AA932" s="43"/>
    </row>
    <row r="933">
      <c r="AA933" s="43"/>
    </row>
    <row r="934">
      <c r="AA934" s="43"/>
    </row>
    <row r="935">
      <c r="AA935" s="43"/>
    </row>
    <row r="936">
      <c r="AA936" s="43"/>
    </row>
    <row r="937">
      <c r="AA937" s="43"/>
    </row>
    <row r="938">
      <c r="AA938" s="43"/>
    </row>
    <row r="939">
      <c r="AA939" s="43"/>
    </row>
    <row r="940">
      <c r="AA940" s="43"/>
    </row>
    <row r="941">
      <c r="AA941" s="43"/>
    </row>
    <row r="942">
      <c r="AA942" s="43"/>
    </row>
    <row r="943">
      <c r="AA943" s="43"/>
    </row>
    <row r="944">
      <c r="AA944" s="43"/>
    </row>
    <row r="945">
      <c r="AA945" s="43"/>
    </row>
    <row r="946">
      <c r="AA946" s="43"/>
    </row>
    <row r="947">
      <c r="AA947" s="43"/>
    </row>
    <row r="948">
      <c r="AA948" s="43"/>
    </row>
    <row r="949">
      <c r="AA949" s="43"/>
    </row>
    <row r="950">
      <c r="AA950" s="43"/>
    </row>
    <row r="951">
      <c r="AA951" s="43"/>
    </row>
    <row r="952">
      <c r="AA952" s="43"/>
    </row>
    <row r="953">
      <c r="AA953" s="43"/>
    </row>
    <row r="954">
      <c r="AA954" s="43"/>
    </row>
    <row r="955">
      <c r="AA955" s="43"/>
    </row>
    <row r="956">
      <c r="AA956" s="43"/>
    </row>
    <row r="957">
      <c r="AA957" s="43"/>
    </row>
    <row r="958">
      <c r="AA958" s="43"/>
    </row>
    <row r="959">
      <c r="AA959" s="43"/>
    </row>
    <row r="960">
      <c r="AA960" s="43"/>
    </row>
    <row r="961">
      <c r="AA961" s="43"/>
    </row>
    <row r="962">
      <c r="AA962" s="43"/>
    </row>
    <row r="963">
      <c r="AA963" s="43"/>
    </row>
    <row r="964">
      <c r="AA964" s="43"/>
    </row>
    <row r="965">
      <c r="AA965" s="43"/>
    </row>
    <row r="966">
      <c r="AA966" s="43"/>
    </row>
    <row r="967">
      <c r="AA967" s="43"/>
    </row>
    <row r="968">
      <c r="AA968" s="43"/>
    </row>
    <row r="969">
      <c r="AA969" s="43"/>
    </row>
    <row r="970">
      <c r="AA970" s="43"/>
    </row>
    <row r="971">
      <c r="AA971" s="43"/>
    </row>
    <row r="972">
      <c r="AA972" s="43"/>
    </row>
    <row r="973">
      <c r="AA973" s="43"/>
    </row>
    <row r="974">
      <c r="AA974" s="43"/>
    </row>
    <row r="975">
      <c r="AA975" s="43"/>
    </row>
    <row r="976">
      <c r="AA976" s="43"/>
    </row>
    <row r="977">
      <c r="AA977" s="43"/>
    </row>
    <row r="978">
      <c r="AA978" s="43"/>
    </row>
    <row r="979">
      <c r="AA979" s="43"/>
    </row>
    <row r="980">
      <c r="AA980" s="43"/>
    </row>
    <row r="981">
      <c r="AA981" s="43"/>
    </row>
    <row r="982">
      <c r="AA982" s="43"/>
    </row>
    <row r="983">
      <c r="AA983" s="43"/>
    </row>
    <row r="984">
      <c r="AA984" s="43"/>
    </row>
    <row r="985">
      <c r="AA985" s="43"/>
    </row>
    <row r="986">
      <c r="AA986" s="43"/>
    </row>
    <row r="987">
      <c r="AA987" s="43"/>
    </row>
    <row r="988">
      <c r="AA988" s="43"/>
    </row>
    <row r="989">
      <c r="AA989" s="43"/>
    </row>
    <row r="990">
      <c r="AA990" s="43"/>
    </row>
    <row r="991">
      <c r="AA991" s="43"/>
    </row>
    <row r="992">
      <c r="AA992" s="43"/>
    </row>
    <row r="993">
      <c r="AA993" s="43"/>
    </row>
    <row r="994">
      <c r="AA994" s="43"/>
    </row>
    <row r="995">
      <c r="AA995" s="43"/>
    </row>
    <row r="996">
      <c r="AA996" s="43"/>
    </row>
    <row r="997">
      <c r="AA997" s="43"/>
    </row>
    <row r="998">
      <c r="AA998" s="43"/>
    </row>
    <row r="999">
      <c r="AA999" s="43"/>
    </row>
    <row r="1000">
      <c r="AA1000" s="43"/>
    </row>
    <row r="1001">
      <c r="AA1001" s="43"/>
    </row>
    <row r="1002">
      <c r="AA1002" s="43"/>
    </row>
    <row r="1003">
      <c r="AA1003" s="43"/>
    </row>
    <row r="1004">
      <c r="AA1004" s="43"/>
    </row>
    <row r="1005">
      <c r="AA1005" s="43"/>
    </row>
    <row r="1006">
      <c r="AA1006" s="43"/>
    </row>
    <row r="1007">
      <c r="AA1007" s="43"/>
    </row>
    <row r="1008">
      <c r="AA1008" s="43"/>
    </row>
    <row r="1009">
      <c r="AA1009" s="43"/>
    </row>
    <row r="1010">
      <c r="AA1010" s="43"/>
    </row>
    <row r="1011">
      <c r="AA1011" s="43"/>
    </row>
    <row r="1012">
      <c r="AA1012" s="43"/>
    </row>
    <row r="1013">
      <c r="AA1013" s="43"/>
    </row>
    <row r="1014">
      <c r="AA1014" s="43"/>
    </row>
    <row r="1015">
      <c r="AA1015" s="43"/>
    </row>
    <row r="1016">
      <c r="AA1016" s="43"/>
    </row>
    <row r="1017">
      <c r="AA1017" s="43"/>
    </row>
    <row r="1018">
      <c r="AA1018" s="43"/>
    </row>
    <row r="1019">
      <c r="AA1019" s="43"/>
    </row>
    <row r="1020">
      <c r="AA1020" s="43"/>
    </row>
    <row r="1021">
      <c r="AA1021" s="43"/>
    </row>
    <row r="1022">
      <c r="AA1022" s="43"/>
    </row>
    <row r="1023">
      <c r="AA1023" s="43"/>
    </row>
    <row r="1024">
      <c r="AA1024" s="43"/>
    </row>
    <row r="1025">
      <c r="AA1025" s="43"/>
    </row>
    <row r="1026">
      <c r="AA1026" s="43"/>
    </row>
    <row r="1027">
      <c r="AA1027" s="43"/>
    </row>
    <row r="1028">
      <c r="AA1028" s="43"/>
    </row>
    <row r="1029">
      <c r="AA1029" s="43"/>
    </row>
    <row r="1030">
      <c r="AA1030" s="43"/>
    </row>
    <row r="1031">
      <c r="AA1031" s="43"/>
    </row>
    <row r="1032">
      <c r="AA1032" s="43"/>
    </row>
    <row r="1033">
      <c r="AA1033" s="43"/>
    </row>
    <row r="1034">
      <c r="AA1034" s="43"/>
    </row>
    <row r="1035">
      <c r="AA1035" s="43"/>
    </row>
    <row r="1036">
      <c r="AA1036" s="43"/>
    </row>
    <row r="1037">
      <c r="AA1037" s="43"/>
    </row>
    <row r="1038">
      <c r="AA1038" s="43"/>
    </row>
  </sheetData>
  <mergeCells count="30">
    <mergeCell ref="C17:D17"/>
    <mergeCell ref="C18:D18"/>
    <mergeCell ref="C19:D19"/>
    <mergeCell ref="C20:D20"/>
    <mergeCell ref="C21:D21"/>
    <mergeCell ref="C22:D22"/>
    <mergeCell ref="B25:H25"/>
    <mergeCell ref="C33:D33"/>
    <mergeCell ref="C34:D34"/>
    <mergeCell ref="B35:H35"/>
    <mergeCell ref="C36:D36"/>
    <mergeCell ref="C37:D37"/>
    <mergeCell ref="C69:H69"/>
    <mergeCell ref="L55:R67"/>
    <mergeCell ref="C26:D26"/>
    <mergeCell ref="B27:H27"/>
    <mergeCell ref="C28:D28"/>
    <mergeCell ref="C29:D29"/>
    <mergeCell ref="C30:D30"/>
    <mergeCell ref="C31:D31"/>
    <mergeCell ref="C32:D32"/>
    <mergeCell ref="B2:H2"/>
    <mergeCell ref="B10:H10"/>
    <mergeCell ref="B12:H12"/>
    <mergeCell ref="C13:D13"/>
    <mergeCell ref="C14:D14"/>
    <mergeCell ref="C15:D15"/>
    <mergeCell ref="C16:D16"/>
    <mergeCell ref="L1:R1"/>
    <mergeCell ref="T1:AA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3" max="3" width="17.25"/>
    <col customWidth="1" min="4" max="4" width="22.5"/>
    <col customWidth="1" min="6" max="6" width="24.0"/>
    <col customWidth="1" min="10" max="10" width="17.25"/>
    <col customWidth="1" min="11" max="12" width="16.25"/>
    <col customWidth="1" min="13" max="13" width="17.25"/>
  </cols>
  <sheetData>
    <row r="1">
      <c r="A1" s="49" t="s">
        <v>226</v>
      </c>
      <c r="B1" s="2"/>
      <c r="C1" s="2"/>
      <c r="D1" s="3"/>
      <c r="F1" s="49" t="s">
        <v>227</v>
      </c>
      <c r="G1" s="3"/>
      <c r="I1" s="49" t="s">
        <v>228</v>
      </c>
      <c r="J1" s="3"/>
    </row>
    <row r="2">
      <c r="A2" s="50" t="s">
        <v>229</v>
      </c>
      <c r="B2" s="50" t="s">
        <v>230</v>
      </c>
      <c r="C2" s="51" t="s">
        <v>231</v>
      </c>
      <c r="D2" s="51" t="s">
        <v>232</v>
      </c>
      <c r="F2" s="52" t="s">
        <v>233</v>
      </c>
      <c r="G2" s="14" t="s">
        <v>234</v>
      </c>
      <c r="I2" s="53">
        <v>1000.0</v>
      </c>
      <c r="J2" s="53">
        <v>1.0</v>
      </c>
    </row>
    <row r="3">
      <c r="A3" s="52" t="s">
        <v>235</v>
      </c>
      <c r="B3" s="14">
        <v>2.185E7</v>
      </c>
      <c r="C3" s="14">
        <f>473/1000</f>
        <v>0.473</v>
      </c>
      <c r="D3" s="37">
        <f>B27*C3/0.1</f>
        <v>56.76</v>
      </c>
      <c r="F3" s="52" t="s">
        <v>236</v>
      </c>
      <c r="G3" s="14">
        <v>1.32</v>
      </c>
      <c r="I3" s="54" t="s">
        <v>237</v>
      </c>
      <c r="J3" s="54" t="s">
        <v>238</v>
      </c>
    </row>
    <row r="4">
      <c r="A4" s="52" t="s">
        <v>239</v>
      </c>
      <c r="B4" s="14">
        <v>4227600.0</v>
      </c>
      <c r="C4" s="14">
        <v>18.9271</v>
      </c>
      <c r="D4" s="14">
        <v>0.0</v>
      </c>
      <c r="F4" s="52" t="s">
        <v>240</v>
      </c>
      <c r="G4" s="14">
        <v>1.36</v>
      </c>
    </row>
    <row r="5">
      <c r="A5" s="52" t="s">
        <v>241</v>
      </c>
      <c r="B5" s="14">
        <v>3.572E7</v>
      </c>
      <c r="C5" s="14">
        <v>1.5</v>
      </c>
      <c r="D5" s="37">
        <f>B43*C5/0.1</f>
        <v>73.5</v>
      </c>
      <c r="I5" s="49" t="s">
        <v>242</v>
      </c>
      <c r="J5" s="2"/>
      <c r="K5" s="2"/>
      <c r="L5" s="2"/>
      <c r="M5" s="3"/>
    </row>
    <row r="6">
      <c r="F6" s="49" t="s">
        <v>243</v>
      </c>
      <c r="G6" s="3"/>
      <c r="I6" s="51" t="s">
        <v>244</v>
      </c>
      <c r="J6" s="51" t="s">
        <v>235</v>
      </c>
      <c r="K6" s="51" t="s">
        <v>245</v>
      </c>
      <c r="L6" s="51" t="s">
        <v>246</v>
      </c>
      <c r="M6" s="51" t="s">
        <v>223</v>
      </c>
    </row>
    <row r="7">
      <c r="F7" s="52" t="s">
        <v>247</v>
      </c>
      <c r="G7" s="55">
        <v>12734.31</v>
      </c>
      <c r="I7" s="51" t="s">
        <v>248</v>
      </c>
      <c r="J7" s="56">
        <f>12*G7+((B3*C3*(G4-0.36))/1000)*G8</f>
        <v>52416229.42</v>
      </c>
      <c r="K7" s="56">
        <f>12*G7+((B4*C4*(G4-0.36))/1000)*G8</f>
        <v>404787573.9</v>
      </c>
      <c r="L7" s="56">
        <f>12*G7+((B5*C5*(G4-0.36))/1000)*G8</f>
        <v>271102049.5</v>
      </c>
      <c r="M7" s="56">
        <f t="shared" ref="M7:M8" si="1">J7+K7+L7</f>
        <v>728305852.9</v>
      </c>
    </row>
    <row r="8">
      <c r="A8" s="49" t="s">
        <v>249</v>
      </c>
      <c r="B8" s="2"/>
      <c r="C8" s="2"/>
      <c r="D8" s="3"/>
      <c r="F8" s="52" t="s">
        <v>250</v>
      </c>
      <c r="G8" s="55">
        <v>5056.91</v>
      </c>
      <c r="I8" s="51" t="s">
        <v>251</v>
      </c>
      <c r="J8" s="56">
        <f>(B3*D3/1000)*G9</f>
        <v>4365525120</v>
      </c>
      <c r="K8" s="55">
        <v>0.0</v>
      </c>
      <c r="L8" s="56">
        <f>(B5*D5/1000)*G9</f>
        <v>9241478400</v>
      </c>
      <c r="M8" s="56">
        <f t="shared" si="1"/>
        <v>13607003520</v>
      </c>
    </row>
    <row r="9">
      <c r="A9" s="50" t="s">
        <v>229</v>
      </c>
      <c r="B9" s="50" t="s">
        <v>252</v>
      </c>
      <c r="C9" s="50" t="s">
        <v>253</v>
      </c>
      <c r="D9" s="51" t="s">
        <v>254</v>
      </c>
      <c r="F9" s="52" t="s">
        <v>255</v>
      </c>
      <c r="G9" s="57">
        <v>3520.0</v>
      </c>
      <c r="I9" s="51" t="s">
        <v>256</v>
      </c>
      <c r="J9" s="56"/>
      <c r="K9" s="56"/>
      <c r="L9" s="56"/>
      <c r="M9" s="56"/>
    </row>
    <row r="10">
      <c r="A10" s="14" t="s">
        <v>257</v>
      </c>
      <c r="B10" s="57">
        <v>8500.0</v>
      </c>
      <c r="C10" s="57">
        <v>7000.0</v>
      </c>
      <c r="D10" s="58">
        <f t="shared" ref="D10:D12" si="2">C10*0.54</f>
        <v>3780</v>
      </c>
      <c r="I10" s="51" t="s">
        <v>258</v>
      </c>
      <c r="J10" s="56"/>
      <c r="K10" s="56"/>
      <c r="L10" s="56"/>
      <c r="M10" s="56"/>
    </row>
    <row r="11">
      <c r="A11" s="59" t="s">
        <v>239</v>
      </c>
      <c r="B11" s="57">
        <v>15000.0</v>
      </c>
      <c r="C11" s="57">
        <v>12600.0</v>
      </c>
      <c r="D11" s="58">
        <f t="shared" si="2"/>
        <v>6804</v>
      </c>
      <c r="I11" s="49" t="s">
        <v>259</v>
      </c>
      <c r="J11" s="2"/>
      <c r="K11" s="2"/>
      <c r="L11" s="2"/>
      <c r="M11" s="3"/>
    </row>
    <row r="12">
      <c r="A12" s="14" t="s">
        <v>241</v>
      </c>
      <c r="B12" s="57">
        <v>4500.0</v>
      </c>
      <c r="C12" s="57">
        <v>3750.0</v>
      </c>
      <c r="D12" s="58">
        <f t="shared" si="2"/>
        <v>2025</v>
      </c>
      <c r="I12" s="51" t="s">
        <v>260</v>
      </c>
      <c r="J12" s="60"/>
      <c r="K12" s="60"/>
      <c r="L12" s="60"/>
      <c r="M12" s="60"/>
    </row>
    <row r="13">
      <c r="I13" s="51" t="s">
        <v>261</v>
      </c>
      <c r="J13" s="60"/>
      <c r="K13" s="60"/>
      <c r="L13" s="60"/>
      <c r="M13" s="60"/>
    </row>
    <row r="14">
      <c r="I14" s="49" t="s">
        <v>262</v>
      </c>
      <c r="J14" s="2"/>
      <c r="K14" s="2"/>
      <c r="L14" s="2"/>
      <c r="M14" s="3"/>
    </row>
    <row r="15">
      <c r="A15" s="49" t="s">
        <v>240</v>
      </c>
      <c r="B15" s="3"/>
      <c r="I15" s="51" t="s">
        <v>248</v>
      </c>
      <c r="J15" s="61">
        <f>12*G7+((B3*C3*(G4-1))/1000)*G8</f>
        <v>18967642.09</v>
      </c>
      <c r="K15" s="61">
        <f>12*G7+((B4*C4*(G4-1))/1000)*G8</f>
        <v>145821326.1</v>
      </c>
      <c r="L15" s="61">
        <f>12*G7+((B5*C5*(G4-1))/1000)*G8</f>
        <v>97694537.33</v>
      </c>
      <c r="M15" s="61">
        <f>SUM(J15:L15)</f>
        <v>262483505.5</v>
      </c>
    </row>
    <row r="16">
      <c r="A16" s="14" t="s">
        <v>263</v>
      </c>
      <c r="B16" s="62">
        <v>0.46</v>
      </c>
      <c r="I16" s="51" t="s">
        <v>264</v>
      </c>
      <c r="J16" s="63"/>
      <c r="K16" s="63"/>
      <c r="L16" s="63"/>
      <c r="M16" s="63"/>
    </row>
    <row r="17">
      <c r="A17" s="14" t="s">
        <v>265</v>
      </c>
      <c r="B17" s="64">
        <v>0.088</v>
      </c>
      <c r="I17" s="51" t="s">
        <v>266</v>
      </c>
      <c r="J17" s="63"/>
      <c r="K17" s="63"/>
      <c r="L17" s="63"/>
      <c r="M17" s="63"/>
    </row>
    <row r="18">
      <c r="I18" s="51" t="s">
        <v>223</v>
      </c>
      <c r="J18" s="61">
        <f>D10*B3</f>
        <v>82593000000</v>
      </c>
      <c r="K18" s="61">
        <f>B4*D11</f>
        <v>28764590400</v>
      </c>
      <c r="L18" s="61">
        <f>B5*D12</f>
        <v>72333000000</v>
      </c>
      <c r="M18" s="61">
        <f>J18+K18+L18</f>
        <v>183690590400</v>
      </c>
    </row>
    <row r="20">
      <c r="A20" s="49" t="s">
        <v>267</v>
      </c>
      <c r="B20" s="2"/>
      <c r="C20" s="3"/>
    </row>
    <row r="21">
      <c r="A21" s="65" t="s">
        <v>268</v>
      </c>
      <c r="B21" s="48">
        <v>1.0</v>
      </c>
      <c r="C21" s="66" t="s">
        <v>269</v>
      </c>
    </row>
    <row r="22">
      <c r="A22" s="52" t="s">
        <v>270</v>
      </c>
      <c r="B22" s="67">
        <v>2.0</v>
      </c>
      <c r="C22" s="68"/>
    </row>
    <row r="23">
      <c r="A23" s="69" t="s">
        <v>271</v>
      </c>
      <c r="B23" s="52" t="s">
        <v>272</v>
      </c>
      <c r="C23" s="52" t="s">
        <v>273</v>
      </c>
    </row>
    <row r="24">
      <c r="A24" s="70"/>
      <c r="B24" s="14">
        <v>47.0</v>
      </c>
      <c r="C24" s="14">
        <v>94.0</v>
      </c>
    </row>
    <row r="25">
      <c r="A25" s="52" t="s">
        <v>274</v>
      </c>
      <c r="B25" s="14">
        <v>12.0</v>
      </c>
      <c r="C25" s="14">
        <v>24.0</v>
      </c>
    </row>
    <row r="26">
      <c r="A26" s="52" t="s">
        <v>275</v>
      </c>
      <c r="B26" s="14">
        <v>12.0</v>
      </c>
      <c r="C26" s="14">
        <v>24.0</v>
      </c>
    </row>
    <row r="27">
      <c r="A27" s="52" t="s">
        <v>276</v>
      </c>
      <c r="B27" s="14">
        <v>12.0</v>
      </c>
      <c r="C27" s="14">
        <v>24.0</v>
      </c>
    </row>
    <row r="28">
      <c r="A28" s="52" t="s">
        <v>277</v>
      </c>
      <c r="B28" s="14">
        <v>0.72</v>
      </c>
      <c r="C28" s="14">
        <v>1.4</v>
      </c>
    </row>
    <row r="29">
      <c r="A29" s="52" t="s">
        <v>278</v>
      </c>
      <c r="B29" s="14">
        <v>8.5</v>
      </c>
      <c r="C29" s="14">
        <v>17.0</v>
      </c>
    </row>
    <row r="30">
      <c r="A30" s="52" t="s">
        <v>279</v>
      </c>
      <c r="B30" s="14">
        <v>0.85</v>
      </c>
      <c r="C30" s="14">
        <v>1.7</v>
      </c>
    </row>
    <row r="31">
      <c r="A31" s="52" t="s">
        <v>280</v>
      </c>
      <c r="B31" s="14">
        <v>2.5</v>
      </c>
      <c r="C31" s="14">
        <v>5.0</v>
      </c>
    </row>
    <row r="34">
      <c r="A34" s="49" t="s">
        <v>281</v>
      </c>
      <c r="B34" s="2"/>
      <c r="C34" s="3"/>
    </row>
    <row r="35">
      <c r="A35" s="65" t="s">
        <v>268</v>
      </c>
      <c r="B35" s="48">
        <v>1.0</v>
      </c>
      <c r="C35" s="66" t="s">
        <v>269</v>
      </c>
    </row>
    <row r="36">
      <c r="A36" s="52" t="s">
        <v>270</v>
      </c>
      <c r="B36" s="67">
        <v>2.0</v>
      </c>
      <c r="C36" s="68"/>
    </row>
    <row r="37">
      <c r="A37" s="69" t="s">
        <v>271</v>
      </c>
      <c r="B37" s="52" t="s">
        <v>272</v>
      </c>
      <c r="C37" s="52" t="s">
        <v>273</v>
      </c>
    </row>
    <row r="38">
      <c r="A38" s="70"/>
      <c r="B38" s="14">
        <v>20.0</v>
      </c>
      <c r="C38" s="14">
        <v>40.0</v>
      </c>
    </row>
    <row r="39">
      <c r="A39" s="52" t="s">
        <v>282</v>
      </c>
      <c r="B39" s="14">
        <v>0.0</v>
      </c>
      <c r="C39" s="14">
        <v>0.0</v>
      </c>
    </row>
    <row r="40">
      <c r="A40" s="52" t="s">
        <v>283</v>
      </c>
      <c r="B40" s="14">
        <v>0.0</v>
      </c>
      <c r="C40" s="14">
        <v>0.0</v>
      </c>
    </row>
    <row r="41">
      <c r="A41" s="52" t="s">
        <v>274</v>
      </c>
      <c r="B41" s="14">
        <v>4.9</v>
      </c>
      <c r="C41" s="14">
        <v>9.8</v>
      </c>
    </row>
    <row r="42">
      <c r="A42" s="52" t="s">
        <v>275</v>
      </c>
      <c r="B42" s="14">
        <v>4.9</v>
      </c>
      <c r="C42" s="14">
        <v>9.8</v>
      </c>
    </row>
    <row r="43">
      <c r="A43" s="52" t="s">
        <v>276</v>
      </c>
      <c r="B43" s="14">
        <v>4.9</v>
      </c>
      <c r="C43" s="14">
        <v>9.8</v>
      </c>
    </row>
    <row r="44">
      <c r="A44" s="52" t="s">
        <v>284</v>
      </c>
      <c r="B44" s="14">
        <v>0.0</v>
      </c>
      <c r="C44" s="14">
        <v>0.0</v>
      </c>
    </row>
    <row r="45">
      <c r="A45" s="52" t="s">
        <v>285</v>
      </c>
      <c r="B45" s="14">
        <v>26.0</v>
      </c>
      <c r="C45" s="14">
        <v>52.0</v>
      </c>
    </row>
    <row r="46">
      <c r="A46" s="71"/>
      <c r="B46" s="71"/>
      <c r="C46" s="71"/>
    </row>
    <row r="47">
      <c r="A47" s="72"/>
      <c r="B47" s="10"/>
      <c r="C47" s="10"/>
    </row>
  </sheetData>
  <mergeCells count="15">
    <mergeCell ref="I14:M14"/>
    <mergeCell ref="A15:B15"/>
    <mergeCell ref="A20:C20"/>
    <mergeCell ref="B22:C22"/>
    <mergeCell ref="A23:A24"/>
    <mergeCell ref="A34:C34"/>
    <mergeCell ref="B36:C36"/>
    <mergeCell ref="A37:A38"/>
    <mergeCell ref="A1:D1"/>
    <mergeCell ref="F1:G1"/>
    <mergeCell ref="I1:J1"/>
    <mergeCell ref="I5:M5"/>
    <mergeCell ref="F6:G6"/>
    <mergeCell ref="A8:D8"/>
    <mergeCell ref="I11:M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3.75"/>
    <col customWidth="1" min="3" max="3" width="14.63"/>
    <col customWidth="1" min="4" max="4" width="16.25"/>
    <col customWidth="1" min="5" max="5" width="16.63"/>
    <col customWidth="1" min="6" max="6" width="16.25"/>
    <col customWidth="1" min="7" max="7" width="16.63"/>
    <col customWidth="1" min="8" max="8" width="16.25"/>
    <col customWidth="1" min="9" max="10" width="15.5"/>
    <col customWidth="1" min="11" max="11" width="14.0"/>
    <col customWidth="1" min="12" max="12" width="16.88"/>
    <col customWidth="1" min="13" max="13" width="14.88"/>
    <col customWidth="1" min="14" max="15" width="16.88"/>
  </cols>
  <sheetData>
    <row r="1">
      <c r="A1" s="71"/>
      <c r="B1" s="71"/>
      <c r="C1" s="71"/>
      <c r="D1" s="71"/>
    </row>
    <row r="2">
      <c r="A2" s="71"/>
      <c r="B2" s="71"/>
      <c r="C2" s="71"/>
      <c r="D2" s="73"/>
    </row>
    <row r="3">
      <c r="A3" s="10"/>
      <c r="B3" s="74"/>
      <c r="D3" s="74"/>
    </row>
    <row r="5">
      <c r="C5" s="49" t="s">
        <v>286</v>
      </c>
      <c r="D5" s="2"/>
      <c r="E5" s="49" t="s">
        <v>287</v>
      </c>
      <c r="F5" s="2"/>
      <c r="G5" s="49" t="s">
        <v>288</v>
      </c>
      <c r="H5" s="3"/>
      <c r="I5" s="75"/>
      <c r="J5" s="75"/>
      <c r="K5" s="75"/>
    </row>
    <row r="6">
      <c r="B6" s="76" t="s">
        <v>289</v>
      </c>
      <c r="C6" s="76" t="s">
        <v>290</v>
      </c>
      <c r="D6" s="76" t="s">
        <v>291</v>
      </c>
      <c r="E6" s="76" t="s">
        <v>290</v>
      </c>
      <c r="F6" s="76" t="s">
        <v>291</v>
      </c>
      <c r="G6" s="77" t="s">
        <v>290</v>
      </c>
      <c r="H6" s="77" t="s">
        <v>291</v>
      </c>
      <c r="I6" s="51" t="s">
        <v>292</v>
      </c>
      <c r="J6" s="76" t="s">
        <v>293</v>
      </c>
      <c r="K6" s="78" t="s">
        <v>294</v>
      </c>
      <c r="L6" s="76" t="s">
        <v>295</v>
      </c>
      <c r="M6" s="76" t="s">
        <v>296</v>
      </c>
      <c r="N6" s="50" t="s">
        <v>297</v>
      </c>
    </row>
    <row r="7">
      <c r="B7" s="79">
        <v>0.0</v>
      </c>
      <c r="C7" s="80">
        <v>0.0</v>
      </c>
      <c r="D7" s="80">
        <v>0.0</v>
      </c>
      <c r="E7" s="80">
        <v>0.0</v>
      </c>
      <c r="F7" s="80">
        <v>0.0</v>
      </c>
      <c r="G7" s="80">
        <v>0.0</v>
      </c>
      <c r="H7" s="57">
        <v>0.0</v>
      </c>
      <c r="I7" s="57">
        <f t="shared" ref="I7:I8" si="1">(C7-D7)+(E7+F7)+(G7-H7)</f>
        <v>0</v>
      </c>
      <c r="J7" s="81">
        <f>Presupuesto!Q53</f>
        <v>1016016859</v>
      </c>
      <c r="K7" s="10">
        <v>0.0</v>
      </c>
      <c r="L7" s="79">
        <v>0.0</v>
      </c>
      <c r="M7" s="81">
        <f t="shared" ref="M7:M8" si="2">I7-J7-K7-L7</f>
        <v>-1016016859</v>
      </c>
      <c r="N7" s="58">
        <f>M7</f>
        <v>-1016016859</v>
      </c>
    </row>
    <row r="8">
      <c r="B8" s="79">
        <v>1.0</v>
      </c>
      <c r="C8" s="80">
        <f>APU!B3*APU!C10</f>
        <v>152950000000</v>
      </c>
      <c r="D8" s="82">
        <f>APU!J18</f>
        <v>82593000000</v>
      </c>
      <c r="E8" s="80">
        <f>APU!B4*APU!C11</f>
        <v>53267760000</v>
      </c>
      <c r="F8" s="82">
        <f>APU!K18</f>
        <v>28764590400</v>
      </c>
      <c r="G8" s="80">
        <f>APU!B5*APU!C12</f>
        <v>133950000000</v>
      </c>
      <c r="H8" s="82">
        <f>APU!L18</f>
        <v>72333000000</v>
      </c>
      <c r="I8" s="57">
        <f t="shared" si="1"/>
        <v>214006350400</v>
      </c>
      <c r="J8" s="79">
        <v>0.0</v>
      </c>
      <c r="K8" s="79">
        <v>0.0</v>
      </c>
      <c r="L8" s="79">
        <v>0.0</v>
      </c>
      <c r="M8" s="81">
        <f t="shared" si="2"/>
        <v>214006350400</v>
      </c>
      <c r="N8" s="58">
        <f>N7+M8</f>
        <v>212990333542</v>
      </c>
    </row>
    <row r="9">
      <c r="A9" s="10"/>
      <c r="B9" s="83"/>
    </row>
    <row r="14">
      <c r="A14" s="47" t="s">
        <v>224</v>
      </c>
      <c r="B14" s="84" t="s">
        <v>298</v>
      </c>
      <c r="C14" s="2"/>
      <c r="D14" s="2"/>
      <c r="E14" s="2"/>
      <c r="F14" s="2"/>
      <c r="G14" s="3"/>
    </row>
  </sheetData>
  <mergeCells count="4">
    <mergeCell ref="C5:D5"/>
    <mergeCell ref="E5:F5"/>
    <mergeCell ref="G5:H5"/>
    <mergeCell ref="B14:G14"/>
  </mergeCells>
  <hyperlinks>
    <hyperlink r:id="rId1" ref="B14"/>
  </hyperlinks>
  <printOptions gridLines="1" horizontalCentered="1"/>
  <pageMargins bottom="0.75" footer="0.0" header="0.0" left="0.7" right="0.7" top="0.75"/>
  <pageSetup fitToHeight="0" paperSize="9" cellComments="atEnd" orientation="landscape" pageOrder="overThenDown"/>
  <drawing r:id="rId2"/>
</worksheet>
</file>