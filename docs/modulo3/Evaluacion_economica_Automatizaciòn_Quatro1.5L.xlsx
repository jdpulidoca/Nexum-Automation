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ón" sheetId="1" r:id="rId4"/>
    <sheet state="visible" name="Presupuesto técnico-comercial" sheetId="2" r:id="rId5"/>
    <sheet state="visible" name="Flujo de Caja Automatización Li" sheetId="3" r:id="rId6"/>
  </sheets>
  <definedNames/>
  <calcPr/>
  <extLst>
    <ext uri="GoogleSheetsCustomDataVersion2">
      <go:sheetsCustomData xmlns:go="http://customooxmlschemas.google.com/" r:id="rId7" roundtripDataChecksum="iur8LwDHkqZ8WBEEUnXJCf+Ruy8iBp/pcDmshHx8MQU="/>
    </ext>
  </extLst>
</workbook>
</file>

<file path=xl/sharedStrings.xml><?xml version="1.0" encoding="utf-8"?>
<sst xmlns="http://schemas.openxmlformats.org/spreadsheetml/2006/main" count="815" uniqueCount="646">
  <si>
    <r>
      <rPr>
        <rFont val="Arial"/>
        <b/>
        <color rgb="FF000000"/>
        <sz val="15.0"/>
      </rPr>
      <t xml:space="preserve">NEXUM AUTOMATION
Evaluación Económica
Automatización de la línea Quatro 1,5 L 
  Revisores:                                           </t>
    </r>
    <r>
      <rPr>
        <rFont val="Arial"/>
        <color rgb="FF000000"/>
        <sz val="15.0"/>
      </rPr>
      <t xml:space="preserve">
Esteban Durán Jiménez
Johan Camilo Patiño Mogollon
Oscar Jhondairo Siabato Leon
Julian David Pulido Castañeda
Ariadna Contreras Nossa</t>
    </r>
  </si>
  <si>
    <r>
      <rPr>
        <rFont val="Arial"/>
        <b/>
        <color theme="1"/>
        <sz val="19.0"/>
      </rPr>
      <t xml:space="preserve">         </t>
    </r>
    <r>
      <rPr>
        <rFont val="Arial"/>
        <b/>
        <color theme="1"/>
        <sz val="15.0"/>
      </rPr>
      <t>Datos Generales:</t>
    </r>
  </si>
  <si>
    <t>Cliente :</t>
  </si>
  <si>
    <t>Coca-Cola FEMSA</t>
  </si>
  <si>
    <t>Empresa de Automatización:</t>
  </si>
  <si>
    <t>Nexum Automation</t>
  </si>
  <si>
    <t>Proyecto:</t>
  </si>
  <si>
    <t>Automatización de la línea Quatro 1,5 L</t>
  </si>
  <si>
    <t>Fecha:</t>
  </si>
  <si>
    <t>Julio de 2026</t>
  </si>
  <si>
    <t>Versión:</t>
  </si>
  <si>
    <t>Primera</t>
  </si>
  <si>
    <t>Presupuesto Tecnico - Comercial:</t>
  </si>
  <si>
    <t>Oferente:</t>
  </si>
  <si>
    <t>Monedas:</t>
  </si>
  <si>
    <t xml:space="preserve">Pesos colombianos </t>
  </si>
  <si>
    <t xml:space="preserve">Dolares Estadunidenses </t>
  </si>
  <si>
    <t>Precios:</t>
  </si>
  <si>
    <t>Despues del IVA</t>
  </si>
  <si>
    <t>Vigencia:</t>
  </si>
  <si>
    <t>30 días</t>
  </si>
  <si>
    <t>Tiempo estimado:</t>
  </si>
  <si>
    <t>Costos Indirectos:</t>
  </si>
  <si>
    <t>Costos directos:</t>
  </si>
  <si>
    <t>Piezas y Equipos Mecánicos :</t>
  </si>
  <si>
    <t>Administración y gastos generales:</t>
  </si>
  <si>
    <t>Elemento</t>
  </si>
  <si>
    <t>Cantidad</t>
  </si>
  <si>
    <t>Valor unitario COP y transporte</t>
  </si>
  <si>
    <t>Valor unitario USD</t>
  </si>
  <si>
    <t>Proveedor y/o Referencia</t>
  </si>
  <si>
    <t>Valor total COP  y transporte</t>
  </si>
  <si>
    <t>Actividad</t>
  </si>
  <si>
    <t>Valor total (COP)</t>
  </si>
  <si>
    <t>Valor total (USD)</t>
  </si>
  <si>
    <t>Proveedor / responsable</t>
  </si>
  <si>
    <t>Descripción</t>
  </si>
  <si>
    <t>Conveyor de salida para packs</t>
  </si>
  <si>
    <t>https://www.indurob.com/banda-sobre-rodillos/</t>
  </si>
  <si>
    <t>Coordinación administrativa del proyecto</t>
  </si>
  <si>
    <t>Seguimiento administrativo, coordinación de pagos, contratos, compras y documentación</t>
  </si>
  <si>
    <t>Perfiles estáticos verticales del bastidor</t>
  </si>
  <si>
    <t>https://www.homecenter.com.co/homecenter-co/product/156252/tubo-cuadrado-70-x-70-x-15mm-x-6m-estructural-hr50/156252/</t>
  </si>
  <si>
    <t>Servicios contables, tributarios y legales</t>
  </si>
  <si>
    <t>Contador y asesor jurídico externo</t>
  </si>
  <si>
    <t>Asesoría contable, tributaria, contractual y revisión de documentos</t>
  </si>
  <si>
    <t>Actuador lineal de barrera separadora</t>
  </si>
  <si>
    <t>https://www.igus.com/product/20531?artNr=DLE-SA-0004</t>
  </si>
  <si>
    <t>Oficina, servicios públicos y espacio administrativo</t>
  </si>
  <si>
    <t>Asignación proporcional de instalaciones y servicios durante el proyecto</t>
  </si>
  <si>
    <t>Actuador lineal pusher de botellas</t>
  </si>
  <si>
    <t>https://www.igus.com/automation/xy-actuator</t>
  </si>
  <si>
    <t>Telefonía, internet y comunicaciones administrativas</t>
  </si>
  <si>
    <t>Operador de telecomunicaciones</t>
  </si>
  <si>
    <t>Comunicaciones administrativas y coordinación con cliente y proveedores</t>
  </si>
  <si>
    <t>Actuador lineal guía de pack</t>
  </si>
  <si>
    <t>https://www.igus.com/product/20531?artNr=DLE-SA-0003</t>
  </si>
  <si>
    <t>Pólizas de cumplimiento, calidad y responsabilidad civil</t>
  </si>
  <si>
    <t>Aseguradora nacional</t>
  </si>
  <si>
    <t>Estimación de pólizas requeridas para la ejecución y garantía del contrato</t>
  </si>
  <si>
    <t>Actuador lineal del gripper de termoplástico</t>
  </si>
  <si>
    <t>Gastos bancarios, garantías y manejo contractual</t>
  </si>
  <si>
    <t>Entidad financiera</t>
  </si>
  <si>
    <t>Garantías, transferencias, manejo de anticipos y costos bancarios</t>
  </si>
  <si>
    <t>Actuador lineal de cuchillas</t>
  </si>
  <si>
    <t>Impresión, documentación física y entrega de manuales</t>
  </si>
  <si>
    <t>Proveedor de impresión y documentación</t>
  </si>
  <si>
    <t>Impresión, encuadernación, planos y copias físicas para entrega</t>
  </si>
  <si>
    <t>Driver para motor NEMA 17</t>
  </si>
  <si>
    <t>https://www.igus.com/product/D7_control</t>
  </si>
  <si>
    <t>SUBTOTAL ADMINISTRACIÓN Y GASTOS GENERALES</t>
  </si>
  <si>
    <t>Barrera separadora de botellas</t>
  </si>
  <si>
    <t>https://www.acerlamayr.co/empresas-de-metalmecanica-especializadas-en-laminas-de-acero-inoxidable-en-bogota-colombia/</t>
  </si>
  <si>
    <t>Guía de empuje de botellas</t>
  </si>
  <si>
    <t>Guía receptora de pack de 12 botellas</t>
  </si>
  <si>
    <t>Imprevistos o Contingencia:</t>
  </si>
  <si>
    <t>Gripper para manejo de termoplástico</t>
  </si>
  <si>
    <t>https://www.igus.com/robot-components/robotics-gripper</t>
  </si>
  <si>
    <t>Resistencia eléctrica selladora</t>
  </si>
  <si>
    <t>https://www.mercadolibre.com.co/5x-repuesto-teflon-selladora-resistencia-termica-40cm/up/MCOU2488794755</t>
  </si>
  <si>
    <t>Sujetador de cuchillas</t>
  </si>
  <si>
    <t>Cuchilla de corte para termoplástico</t>
  </si>
  <si>
    <t>https://spanish.alibaba.com/product-detail/SYZG-Bag-Making-Machine-Heat-Sealing-1601799793108.html</t>
  </si>
  <si>
    <t>Concepto</t>
  </si>
  <si>
    <t>Porcentaje sobre costos directos</t>
  </si>
  <si>
    <t>Sujetador de guías y barrera</t>
  </si>
  <si>
    <t>https://www.mercadolibre.com.co/rodamiento-lineal-lmf8uu-lm8-impresora-3d-cnc-8mm-lm8uu/up/MCOU2557433106</t>
  </si>
  <si>
    <t>Variación de tasa de cambio y costos de importación</t>
  </si>
  <si>
    <t>Reserva por variación de TRM, fletes internacionales, importaciones y nacionalización</t>
  </si>
  <si>
    <t>Base del gripper</t>
  </si>
  <si>
    <t>Ajustes de diseño, fabricación y materiales adicionales</t>
  </si>
  <si>
    <t>Reserva para modificaciones menores, materiales adicionales y ajustes de fabricación</t>
  </si>
  <si>
    <t>Bases de guías y barrera</t>
  </si>
  <si>
    <t>Retrabajos durante instalación y puesta en marcha</t>
  </si>
  <si>
    <t>Reserva para correcciones y trabajos adicionales durante montaje, FAT y SAT</t>
  </si>
  <si>
    <t>Sujetadores superiores del bastidor</t>
  </si>
  <si>
    <t>Repuestos, entregas tardías y sustitución de componentes</t>
  </si>
  <si>
    <t>Reserva para sustituciones, componentes críticos y cambios de referencia</t>
  </si>
  <si>
    <t>Túnel térmico BS-5540M o equivalente</t>
  </si>
  <si>
    <t>https://equipackmx.com.mx/producto/tunel-o-horno-de-calor-para-productos-termoencogibles-grandes-bs-5540m/</t>
  </si>
  <si>
    <t>SUBTOTAL IMPREVISTOS Y CONTINGENCIA</t>
  </si>
  <si>
    <t>Soporte rotatorio de rollo termoplástico</t>
  </si>
  <si>
    <t>Soportes inferiores del bastidor</t>
  </si>
  <si>
    <t>COSTO GENERAL PIEZAS Y EQUIPOS MECÁNICOS</t>
  </si>
  <si>
    <t>Costos operacionales :</t>
  </si>
  <si>
    <t>Celda Robotizada:</t>
  </si>
  <si>
    <t>Factor de costo</t>
  </si>
  <si>
    <t>Cantidad de personas</t>
  </si>
  <si>
    <t>Días o unidades</t>
  </si>
  <si>
    <t>Valor unitario COP</t>
  </si>
  <si>
    <t>Valor total COP</t>
  </si>
  <si>
    <t>Elementos de protección personal</t>
  </si>
  <si>
    <t>Por persona</t>
  </si>
  <si>
    <t>Kit básico por persona: casco, gafas de seguridad, guantes, protección auditiva y chaleco reflectivo para ingreso y trabajo en planta</t>
  </si>
  <si>
    <t>Alquiler de herramientas y equipos auxiliares</t>
  </si>
  <si>
    <t>Por día</t>
  </si>
  <si>
    <t>N/A</t>
  </si>
  <si>
    <t>Alquiler compartido de herramientas especiales, equipos de medición y elementos auxiliares requeridos durante montaje y puesta en marcha</t>
  </si>
  <si>
    <t>Valor unitario COP  y transporte</t>
  </si>
  <si>
    <t>Referencia</t>
  </si>
  <si>
    <t>Internet, almacenamiento y servicios digitales</t>
  </si>
  <si>
    <t>Por mes</t>
  </si>
  <si>
    <t>Almacenamiento en la nube, copias de seguridad, transferencia de archivos, gestión documental y colaboración durante cuatro meses</t>
  </si>
  <si>
    <t>Robot palletizador ABB IRB 460-110/2.40 con controlador OmniCore o IRC5</t>
  </si>
  <si>
    <t>ABB Robotics IRB 460-110/2.40 — https://www.abb.com/global/en/areas/robotics/products/robots/articulated-robots/medium-robots/irb-460</t>
  </si>
  <si>
    <t>Alimentación durante instalación y pruebas</t>
  </si>
  <si>
    <t>Por persona/día</t>
  </si>
  <si>
    <t>Alimentación del equipo durante montaje, instalación, FAT, SAT y capacitación</t>
  </si>
  <si>
    <t>DressPack y conexiones de servicio entre robot y gripper</t>
  </si>
  <si>
    <t>ABB DressPack y conexiones de usuario para IRB 460 — https://library.e.abb.com/public/6e3128004ef6446798f81e735cdaab4a/3HAC081954%20PS%20IRB%20460%20on%20OmniCore-en.pdf</t>
  </si>
  <si>
    <t>SUBTOTAL COSTOS OPERACIONALES</t>
  </si>
  <si>
    <t>Pedestal estructural, placa base y anclajes para robot ABB</t>
  </si>
  <si>
    <t>Banda transportadora de alimentación de packs</t>
  </si>
  <si>
    <t>Roller conveyor motorizado para manejo de pallets</t>
  </si>
  <si>
    <t>Dispensador automático de pallets</t>
  </si>
  <si>
    <t>Innoveyance, sistema transportador y dispensador de pallets — https://innoveyance.com/product/pallet-conveyor-system/</t>
  </si>
  <si>
    <t>Almacenador y dispensador automático de separadores entre capas</t>
  </si>
  <si>
    <t>Tinsley Equipment, dispensador automático de pallets y separadores — https://www.tinsleycompany.com/automatic-pallet-dispenser-with-slip-sheet-dispenser/</t>
  </si>
  <si>
    <t>Costos indirectos totales:</t>
  </si>
  <si>
    <t>Gabinete eléctrico de control</t>
  </si>
  <si>
    <t>Rittal VX25, gabinete eléctrico industrial modular — https://www.rittal.com/com_en/products/PG20231215SCH101/PG20240111SCH301/PRO70035</t>
  </si>
  <si>
    <t>Variador de velocidad para transportadores</t>
  </si>
  <si>
    <t>Allen-Bradley PowerFlex 525, variador de frecuencia — https://www.rockwellautomation.com/en-us/products/hardware/vfds-variable-frequency-drives/powerflex-525.html</t>
  </si>
  <si>
    <t>Electroválvulas y accesorios neumáticos generales de la celda, excluyendo el gripper</t>
  </si>
  <si>
    <t>SMC serie SY3000/5000/7000, electroválvulas y manifolds neumáticos — https://www.smcworld.com/webcatalog/en-jp/seriesList/?id=SY-E</t>
  </si>
  <si>
    <t>Compresor y unidad de preparación de aire FRL</t>
  </si>
  <si>
    <t>Atlas Copco, compresores industriales; SMC serie AC-D, unidad FRL — https://www.atlascopco.com/en-co/compressors | https://www.smcworld.com/catalog/New-products-en/mpv/es40-69-AC-D/data/es40-69-AC-D.pdf</t>
  </si>
  <si>
    <t>Administración y gastos generales</t>
  </si>
  <si>
    <t>Administración, pólizas, garantías, servicios profesionales y documentación</t>
  </si>
  <si>
    <t>Torre luminosa LED industrial</t>
  </si>
  <si>
    <t>PATLITE serie LR6, torre luminosa LED industrial — https://www.patlite.com/product/category2.html</t>
  </si>
  <si>
    <t>Imprevistos y contingencia</t>
  </si>
  <si>
    <t>Reserva presupuestal equivalente al 7% de los costos directos</t>
  </si>
  <si>
    <t>Botón de parada de emergencia</t>
  </si>
  <si>
    <t>Schneider Electric Harmony XB5AS8442, parada de emergencia Ø40 mm — https://www.se.com/us/en/product/XB5AS8442/emergency-stop-switching-off-harmony-xb5-plastic-red-mushroom-40mm-22mm-trigger-latching-turn-to-release-1nc/</t>
  </si>
  <si>
    <t>Costos auxiliares de ejecución</t>
  </si>
  <si>
    <t>EPP, herramientas auxiliares y servicios digitales</t>
  </si>
  <si>
    <t>Pulsadores Start, Stop y Reset</t>
  </si>
  <si>
    <t>Schneider Electric Harmony XB5, pulsadores industriales Start/Stop/Reset — https://www.se.com/us/en/product-category/4800-pushbuttons-switches-pilot-lights-control-stations-and-joysticks/</t>
  </si>
  <si>
    <t>COSTOS INDIRECTOS TOTALES</t>
  </si>
  <si>
    <t>Selector Manual / Automático</t>
  </si>
  <si>
    <t>Schneider Electric Harmony XB5, selector Manual/Automático de 22 mm — https://www.se.com/us/en/product-category/4800-pushbuttons-switches-pilot-lights-control-stations-and-joysticks/</t>
  </si>
  <si>
    <t>Cerramiento perimetral modular de seguridad</t>
  </si>
  <si>
    <t>Troax Machine Guarding, cerramiento modular para celdas robotizadas — https://www.troax.com/products/machine-guarding/</t>
  </si>
  <si>
    <t>Puerta de acceso con interruptor de seguridad enclavado</t>
  </si>
  <si>
    <t>Pilz PSENmlock, interruptor de seguridad con bloqueo para puerta — https://www.pilz.com/en-US/products/sensor-technology/safety-switches-with-guard-locking/psenmlock-safety-locking-devices</t>
  </si>
  <si>
    <t>Canaletas, conectores y accesorios eléctricos y neumáticos</t>
  </si>
  <si>
    <t>Panduit Panduct tipo G, canaleta ranurada; Festo QS, conectores neumáticos — https://www.panduit.com/en/products/wire-routing-management-protection/wiring-duct/wiring-duct/p200929.html | https://www.festo.com/us/en/p/push-in-fitting-id_QS/</t>
  </si>
  <si>
    <t>Estructuras y soportes mecánicos complementarios</t>
  </si>
  <si>
    <t>Pallets EPAL 2 para pruebas y puesta a punto</t>
  </si>
  <si>
    <t>European Pallet Association, pallet EPAL 2 — https://www.epal-pallets.org/eu-en/load-carriers/epal-2-pallet</t>
  </si>
  <si>
    <t>Ventosa tipo fuelle Schmalz FSGC</t>
  </si>
  <si>
    <t>Schmalz FSGC, ventosa de fuelle para manipulación de empaques — https://www.schmalz.com/en-us/products/vacuum-technology-for-automation-301607/vacuum-components-301608/vacuum-suction-cups-301609/suction-cups-for-the-packaging-industry-304415/bellows-suction-cups-fsgc-362908/10.01.06.05651</t>
  </si>
  <si>
    <t>Resumen General Costos:</t>
  </si>
  <si>
    <t>Soporte de ventosa SAOXB</t>
  </si>
  <si>
    <t>Schmalz SAOXB, ventosa oval de fuelle — https://www.schmalz.com/en/products/vacuum-technology-for-automation-301607/vacuum-components-301608/vacuum-suction-cups-301609/suction-cups-for-handling-sheet-metal-303618/bellows-suction-cups-saoxb-oval-728638</t>
  </si>
  <si>
    <t>Cilindro neumático guiado MGPM32-100Z</t>
  </si>
  <si>
    <t>SMC MGPM32-100Z, cilindro compacto guiado serie MGP-Z — https://www.smcworld.com/catalog/en/actuator/MGP-Z-E/6-2-2-p0423-0494-mgp_en/data/6-2-2-p0423-0494-mgp_en.pdf</t>
  </si>
  <si>
    <t>Sensor magnético para cilindro D-M9PW</t>
  </si>
  <si>
    <t>SMC D-M9PW, sensor magnético de estado sólido con dos colores — https://www.smcusa.com/products/auto-switch-solid-state-general-purpose~30777</t>
  </si>
  <si>
    <t>Placa superior de aluminio 6061-T6 de 12 mm</t>
  </si>
  <si>
    <t>Aluminio 6061-T6 conforme a ASTM B209/B209M; mecanizado según plano — https://www.astm.org/b0209_b0209m-21a.html</t>
  </si>
  <si>
    <t>Costos directos del proyecto</t>
  </si>
  <si>
    <t>Equipos, sensórica, control, software, ingeniería, instalación, pruebas y consumibles</t>
  </si>
  <si>
    <t>Placa lateral de aluminio 6061-T6 de 390 × 120 × 10 mm</t>
  </si>
  <si>
    <t>Costos indirectos y contingencia</t>
  </si>
  <si>
    <t>Administración, costos auxiliares y reserva presupuestal</t>
  </si>
  <si>
    <t>Espuma EVA de alta densidad de 370 × 100 × 10 mm</t>
  </si>
  <si>
    <t>McMaster-Carr, lámina de espuma EVA de alta densidad — https://www.mcmaster.com/products/eva-foam/</t>
  </si>
  <si>
    <t>COSTO TOTAL ANTES DE UTILIDAD</t>
  </si>
  <si>
    <t>Costo interno total de Nexum</t>
  </si>
  <si>
    <t>Eje guía rectificado de acero endurecido Ø16 × 150 mm</t>
  </si>
  <si>
    <t>MISUMI, eje lineal rectificado y endurecido Ø16 mm, longitud configurable — https://us.misumi-ec.com/vona2/mech/M0100000000/M0101000000/</t>
  </si>
  <si>
    <t>Utilidad comercial de Nexum</t>
  </si>
  <si>
    <t>Markup del 15% sobre el costo total antes de utilidad</t>
  </si>
  <si>
    <t>Casquillo lineal LM16UU o equivalente</t>
  </si>
  <si>
    <t>MISUMI, casquillo lineal LMU16/LM16UU o equivalente para eje Ø16 mm — https://us.misumi-ec.com/vona2/mech/M0100000000/M0104000000/</t>
  </si>
  <si>
    <t>PRECIO TOTAL ESTIMADO DEL PROYECTO</t>
  </si>
  <si>
    <t>Precio comercial calculado antes de revisar el tratamiento final del IVA</t>
  </si>
  <si>
    <t>Manifold de vacío de seis salidas</t>
  </si>
  <si>
    <t>SMC serie KDM, bloque distribuidor múltiple para líneas neumáticas y vacío — https://www.smcworld.com/webcatalog/en-jp/seriesList/?id=KDM</t>
  </si>
  <si>
    <t>Manguera neumática de poliuretano Ø8 mm</t>
  </si>
  <si>
    <t>Festo PUN-H-8X1,25, manguera neumática de poliuretano Ø8 mm — https://www.festo.com/us/en/a/8048695/</t>
  </si>
  <si>
    <t>Manguera neumática de poliuretano Ø6 mm</t>
  </si>
  <si>
    <t>Festo PUN-H-6X1, manguera neumática de poliuretano Ø6 mm — https://www.festo.com/us/en/a/8205513/</t>
  </si>
  <si>
    <t>Racor neumático instantáneo tipo push-in</t>
  </si>
  <si>
    <t>Festo serie QS, racores neumáticos instantáneos push-in — https://www.festo.com/us/en/p/push-in-fitting-id_QS/</t>
  </si>
  <si>
    <t>Electroválvula neumática 5/2 de 24 VDC para el gripper</t>
  </si>
  <si>
    <t>SMC serie SY3000, electroválvula 5/2 de 24 VDC — https://www.smcworld.com/webcatalog/en-jp/seriesList/?id=SY-E</t>
  </si>
  <si>
    <t>Generador de vacío por eyector Venturi</t>
  </si>
  <si>
    <t>Schmalz SCPi 20, generador de vacío compacto por eyector Venturi — https://www.schmalz.com/en/vacuum-technology-for-automation/vacuum-components/vacuum-generators/compact-ejectors/compact-ejectors-scpi-smpi-307880/10.02.02.03356</t>
  </si>
  <si>
    <t>Tornillería, separadores y elementos de fijación en acero inoxidable</t>
  </si>
  <si>
    <t>Würth Colombia, tornillería y elementos de fijación en acero inoxidable A2 — https://eshop.wurth.com.co/</t>
  </si>
  <si>
    <t>Cable multipolar de ocho conductores para sensores del gripper</t>
  </si>
  <si>
    <t>LAPP ÖLFLEX, cable flexible industrial de control de ocho conductores — https://www.lapp.com/en_US/us/products/cables-and-wires/connecting-cable-and-control-cable/c/113880</t>
  </si>
  <si>
    <t>SUBTOTAL EQUIPOS Y COMPONENTES DE LA CELDA</t>
  </si>
  <si>
    <t>Sensorica :</t>
  </si>
  <si>
    <t>Valor unitario  (COP)</t>
  </si>
  <si>
    <t>Valor total  (COP)</t>
  </si>
  <si>
    <t>Proveedor/Referencia</t>
  </si>
  <si>
    <t>Sensores de distancia para posicionamiento</t>
  </si>
  <si>
    <t>https://www.sick.com/es/es/catalog/productos/sensores-de-deteccion/c/g568257</t>
  </si>
  <si>
    <t>Sensores fotoeléctricos e inductivos de la celda</t>
  </si>
  <si>
    <t>https://www.sick.com/es/es/catalog/productos/sensores-de-deteccion/rejillas-fotoelectricas/c/g176262</t>
  </si>
  <si>
    <t xml:space="preserve">Sensores de temperatura </t>
  </si>
  <si>
    <t>https://www.sick.com/es/es/productos/sensores-de-proceso/sensores-de-temperaturas/c/g173252</t>
  </si>
  <si>
    <t>SUBTOTAL SENSÓRICA Y SEGURIDAD</t>
  </si>
  <si>
    <t>Sistema electrico y de control :</t>
  </si>
  <si>
    <t>Valor unitario (COP)</t>
  </si>
  <si>
    <t>PLC Allen-Bradley CompactLogix 5380 con módulos básicos de E/S digitales</t>
  </si>
  <si>
    <t>Rockwell Automation / CompactLogix 5380, serie 5069</t>
  </si>
  <si>
    <t>Computador industrial para SCADA</t>
  </si>
  <si>
    <t>Rockwell Automation / ASEM 6300P o computador industrial equivalente</t>
  </si>
  <si>
    <t>HMI industrial táctil de 10 pulgadas</t>
  </si>
  <si>
    <t>Allen-Bradley / PanelView 5310 de 10 pulgadas</t>
  </si>
  <si>
    <t>Monitor industrial para computador SCADA</t>
  </si>
  <si>
    <t>Rockwell Automation / ASEM 6300M o monitor industrial equivalente</t>
  </si>
  <si>
    <t>Fuente industrial principal de 24 VDC</t>
  </si>
  <si>
    <t>Allen-Bradley / Bulletin 1606-XLE, 24 VDC</t>
  </si>
  <si>
    <t>Fuente industrial secundaria de 24 VDC para sensores y actuadores</t>
  </si>
  <si>
    <t>UPS industrial para PLC, SCADA y comunicaciones</t>
  </si>
  <si>
    <t>Allen-Bradley / Bulletin 1609-D o Phoenix Contact QUINT UPS</t>
  </si>
  <si>
    <t>Gabinete eléctrico principal con placa de montaje</t>
  </si>
  <si>
    <t>Rittal / Gabinete modular VX25 con placa de montaje</t>
  </si>
  <si>
    <t>Interruptor-seccionador principal del gabinete</t>
  </si>
  <si>
    <t>Schneider Electric / ComPacT NSX o TeSys Vario</t>
  </si>
  <si>
    <t>Dispositivo de protección contra sobretensiones DPS</t>
  </si>
  <si>
    <t>Schneider Electric / Acti9 iPRD</t>
  </si>
  <si>
    <t>Interruptores termomagnéticos, contactores y guardamotores</t>
  </si>
  <si>
    <t>Schneider Electric / Acti9, TeSys D y TeSys GV; cantidad correspondiente a un lote</t>
  </si>
  <si>
    <t>Bornes, relés de interfaz, fusibles y distribución de potencial</t>
  </si>
  <si>
    <t>Phoenix Contact / CLIPLINE complete y relés PLC-INTERFACE; cantidad correspondiente a un lote</t>
  </si>
  <si>
    <t>Módulo de entradas analógicas para señales de 4–20 mA y 0–10 V</t>
  </si>
  <si>
    <t>Allen-Bradley / POINT I/O 1734-IE4C o Compact 5000 I/O equivalente</t>
  </si>
  <si>
    <t>Módulo de entradas RTD o termopar para temperatura</t>
  </si>
  <si>
    <t>Allen-Bradley / POINT I/O 1734-IR2 o módulo 5069 equivalente</t>
  </si>
  <si>
    <t>Estación de entradas y salidas remotas con adaptador EtherNet/IP</t>
  </si>
  <si>
    <t>Allen-Bradley / POINT I/O 1734-AENTR con módulos de E/S</t>
  </si>
  <si>
    <t>Variador de frecuencia para conveyor de salida de la agrupadora</t>
  </si>
  <si>
    <t>Allen-Bradley / PowerFlex 525, potencia por definir según motor</t>
  </si>
  <si>
    <t>Controlador o relé de seguridad configurable</t>
  </si>
  <si>
    <t>Pilz / PNOZmulti 2 o Allen-Bradley Guardmaster equivalente</t>
  </si>
  <si>
    <t>Schneider Electric / Harmony XB5AS8442</t>
  </si>
  <si>
    <t>Botonera local Start, Stop y Reset</t>
  </si>
  <si>
    <t>Schneider Electric / Harmony XB5; cantidad correspondiente a un conjunto</t>
  </si>
  <si>
    <t>Schneider Electric / Harmony XB5AD</t>
  </si>
  <si>
    <t>Baliza luminosa con alarma acústica</t>
  </si>
  <si>
    <t>PATLITE / Torre luminosa LED serie LR6 con módulo acústico</t>
  </si>
  <si>
    <t>Switch Ethernet industrial administrable</t>
  </si>
  <si>
    <t>Moxa / EDS-2000-EL; Siemens SCALANCE XB o Allen-Bradley Stratix equivalente</t>
  </si>
  <si>
    <t>Cable Ethernet industrial Cat 6 o Cat 6A</t>
  </si>
  <si>
    <t>Belden DataTuff o LAPP ETHERLINE; cantidad correspondiente a un lote</t>
  </si>
  <si>
    <t>Cableado eléctrico de potencia y control</t>
  </si>
  <si>
    <t>LAPP ÖLFLEX / Centelsa; cantidad correspondiente al metraje estimado del proyecto</t>
  </si>
  <si>
    <t>Conectores industriales M8 y M12 para sensores y actuadores</t>
  </si>
  <si>
    <t>Phoenix Contact / SAC; Murrelektronik o Balluff; cantidad correspondiente a un lote</t>
  </si>
  <si>
    <t>Cajas de paso y distribución de señales en campo</t>
  </si>
  <si>
    <t>Rittal / KX Terminal Box o cajas industriales IP65 equivalentes</t>
  </si>
  <si>
    <t>Riel DIN, canaletas, punteras, terminales y marcación</t>
  </si>
  <si>
    <t>Panduit Panduct, Phoenix Contact y Weidmüller; cantidad correspondiente a un lote</t>
  </si>
  <si>
    <t>Sistema de ventilación y filtración del gabinete</t>
  </si>
  <si>
    <t>Rittal / Blue e+ Filter Fan o sistema equivalente</t>
  </si>
  <si>
    <t>Barra de tierra, conductor de protección y accesorios de puesta a tierra</t>
  </si>
  <si>
    <t>Phoenix Contact / sistema de puesta a tierra y bornes PE; cantidad correspondiente a un lote</t>
  </si>
  <si>
    <t>Relé de estado sólido para control de resistencias del túnel térmico</t>
  </si>
  <si>
    <t>Carlo Gavazzi / RGC1A o Schneider Electric Harmony SSR equivalente</t>
  </si>
  <si>
    <t>Kit inicial de repuestos eléctricos y de control</t>
  </si>
  <si>
    <t>Fuentes, fusibles, relés, bornes, conectores y componentes críticos de reposición</t>
  </si>
  <si>
    <t>SUBTOTAL SISTEMA ELÉCTRICO Y CONTROL</t>
  </si>
  <si>
    <t>Software y Licencias:</t>
  </si>
  <si>
    <t>Studio 5000 Logix Designer</t>
  </si>
  <si>
    <t>Rockwell Automation</t>
  </si>
  <si>
    <t xml:space="preserve">RSLinx Classic OEM </t>
  </si>
  <si>
    <t>RobotStudio Premium</t>
  </si>
  <si>
    <t>ABB Robotics</t>
  </si>
  <si>
    <t>Opción RobotWare OPC UA</t>
  </si>
  <si>
    <t>Node-RED</t>
  </si>
  <si>
    <t>Software de código abierto</t>
  </si>
  <si>
    <t>InfluxDB/Grafana Community para históricos</t>
  </si>
  <si>
    <t>Asignación de licencia Siemens NX al proyecto</t>
  </si>
  <si>
    <t>Siemens Digital Industries Software</t>
  </si>
  <si>
    <t>SUBTOTAL SOFTWARE Y LICENCIAS</t>
  </si>
  <si>
    <t>Tareas de Ingeniería:</t>
  </si>
  <si>
    <t>Personal requerido</t>
  </si>
  <si>
    <t>Horas por persona</t>
  </si>
  <si>
    <t>Horas-persona totales</t>
  </si>
  <si>
    <t>Valor por hora (COP)</t>
  </si>
  <si>
    <t>Modalidad sugerida</t>
  </si>
  <si>
    <t>Descripción y entregable</t>
  </si>
  <si>
    <t>Diseño mecánico de la máquina agrupadora</t>
  </si>
  <si>
    <t>Ingenieros mecánicos o mecatrónicos con experiencia en diseño de maquinaria</t>
  </si>
  <si>
    <t>Personal interno de Nexum</t>
  </si>
  <si>
    <t>Cálculos, modelos CAD, planos de fabricación, tolerancias y listas de materiales; no incluye fabricación, montaje ni ajustes físicos</t>
  </si>
  <si>
    <t>Diseño de la celda robotizada</t>
  </si>
  <si>
    <t>Ingeniero de robótica e ingeniero mecánico con experiencia en celdas industriales</t>
  </si>
  <si>
    <t>Layout, pedestal, gripper, análisis de alcance y carga, definición de zonas de trabajo y trayectorias virtuales; no incluye instalación ni calibración física</t>
  </si>
  <si>
    <t>Diseño eléctrico y arquitectura de control</t>
  </si>
  <si>
    <t>Ingenieros eléctricos o de automatización con experiencia industrial</t>
  </si>
  <si>
    <t>Planos eléctricos, arquitectura de red, lista de señales, dimensionamiento de E/S, protecciones y especificación de componentes; no incluye montaje ni cableado</t>
  </si>
  <si>
    <t>Programación PLC en Ladder e integración EtherNet/IP</t>
  </si>
  <si>
    <t>Ingenieros de automatización y control especializados en Allen-Bradley</t>
  </si>
  <si>
    <t>Programa PLC, tags, secuencias, interbloqueos, alarmas, diagnóstico, comunicaciones EtherNet/IP y pruebas unitarias previas al FAT</t>
  </si>
  <si>
    <t>Programación ABB en RobotStudio</t>
  </si>
  <si>
    <t>Ingeniero especialista en robótica ABB e ingeniero de simulación</t>
  </si>
  <si>
    <t>Personal interno y especialista contratado</t>
  </si>
  <si>
    <t>Rutinas RAPID, trayectorias, patrones de paletizado, configuración conceptual de herramientas, simulación y verificación virtual; no incluye calibración física ni ejecución del SAT</t>
  </si>
  <si>
    <t>Desarrollo SCADA en Node-RED y comunicación OPC UA</t>
  </si>
  <si>
    <t>Ingenieros de automatización o desarrollo de aplicaciones industriales</t>
  </si>
  <si>
    <t>Interfaz SCADA, gestión de usuarios, alarmas, históricos, variables, indicadores OEE, comunicaciones OPC UA y pruebas unitarias</t>
  </si>
  <si>
    <t>Gemelo digital completo en Siemens NX</t>
  </si>
  <si>
    <t>Ingeniero de simulación e ingeniero mecánico con experiencia en Siemens NX</t>
  </si>
  <si>
    <t>Personal interno o contratación especializada</t>
  </si>
  <si>
    <t>Modelado, simulación, validación virtual, análisis de interferencias, revisión de movimientos y documentación; no sustituye las pruebas FAT y SAT físicas</t>
  </si>
  <si>
    <t>Gestión y coordinación técnica del proyecto</t>
  </si>
  <si>
    <t>Ingeniero líder o director de proyecto con experiencia en automatización</t>
  </si>
  <si>
    <t>Planeación, seguimiento técnico, coordinación de disciplinas y proveedores, control de cambios, reuniones, seguimiento presupuestal y control de entregables</t>
  </si>
  <si>
    <t>Documentación técnica y análisis de riesgos</t>
  </si>
  <si>
    <t>Ingeniero mecatrónico, de automatización o de seguridad industrial</t>
  </si>
  <si>
    <t>Manual de operación, manual de mantenimiento, matriz de riesgos, protocolos FAT/SAT, listas de verificación y expediente técnico; no incluye ejecución de capacitación</t>
  </si>
  <si>
    <t>Validación de seguridad funcional de la máquina</t>
  </si>
  <si>
    <t>Especialista en seguridad de maquinaria y sistemas de control relacionados con seguridad</t>
  </si>
  <si>
    <t>Contratación especializada</t>
  </si>
  <si>
    <t>Evaluación y validación documental de paradas de emergencia, puertas enclavadas, cerramientos, funciones de seguridad y riesgos residuales</t>
  </si>
  <si>
    <t>Diseño de red industrial y ciberseguridad OT</t>
  </si>
  <si>
    <t>Especialista en redes industriales y ciberseguridad OT</t>
  </si>
  <si>
    <t>Segmentación de red, direccionamiento, arquitectura EtherNet/IP, accesos, usuarios, respaldos, comunicación OPC UA y recomendaciones de protección de la red industrial</t>
  </si>
  <si>
    <t>SUBTOTAL COSTOS Y TIEMPO DE INGENIERÍA</t>
  </si>
  <si>
    <t>Nota aclaratoria:</t>
  </si>
  <si>
    <t>Referencias para tarifas usadas:</t>
  </si>
  <si>
    <t>Links:</t>
  </si>
  <si>
    <t>Las tarifas se estimaron a partir de honorarios de referencia ANI 2026 y criterios de clasificación profesional ACIEM. Para personal interno representan una tarifa presupuestal de hora profesional; los costos laborales y tributarios se revisarán según la modalidad de contratación.</t>
  </si>
  <si>
    <t>MANUAL DE CONTRATACIÓN TABLA DE
HONORARIOS 2026</t>
  </si>
  <si>
    <t>https://www.ani.gov.co/sites/default/files/gcop-m-001_anexo_manual_de_contratacion_-_tabla_honorarios_2026.pdf</t>
  </si>
  <si>
    <t>MANUAL DE REFERENCIA DE TARIFAS DE INGENIERIA</t>
  </si>
  <si>
    <t>https://www.aciem.org/Afiliados/Publicaciones/MANUAL_TARIFAS_2015.pdf</t>
  </si>
  <si>
    <t>Instalación y puesta en marcha:</t>
  </si>
  <si>
    <t>Supervisión del ensamble mecánico</t>
  </si>
  <si>
    <t>Ingeniero mecánico o mecatrónico especializado – ANI Especializado 1 IV</t>
  </si>
  <si>
    <t>Supervisión técnica del montaje, verificación de planos, control de tolerancias, alineación, nivelación y aprobación de ajustes mecánicos</t>
  </si>
  <si>
    <t>Montaje mecánico de la agrupadora y celda</t>
  </si>
  <si>
    <t>Técnicos mecánicos de montaje con experiencia industrial – ANI Técnico II</t>
  </si>
  <si>
    <t>Ensamble físico, instalación de estructuras, anclaje, alineación, nivelación y ejecución de ajustes mecánicos bajo supervisión del ingeniero responsable</t>
  </si>
  <si>
    <t>Instalación eléctrica y cableado</t>
  </si>
  <si>
    <t>Técnicos electricistas industriales – ANI Técnico II</t>
  </si>
  <si>
    <t>Montaje de tableros, canalizaciones, tendido y marcación de cables, conexiones de potencia y control y conexionado de instrumentos según planos eléctricos</t>
  </si>
  <si>
    <t>Instalación y calibración del robot</t>
  </si>
  <si>
    <t>Ingeniero especialista certificado o con experiencia demostrable en robótica ABB – ANI Especializado 2 I</t>
  </si>
  <si>
    <t>Verificación del anclaje y nivelación, configuración física, definición de herramienta y carga, calibración de referencias, pruebas de movimientos y validación de posiciones</t>
  </si>
  <si>
    <t>Ejecución de pruebas FAT</t>
  </si>
  <si>
    <t>Ingenieros de automatización y robótica – ANI Especializado 1 V</t>
  </si>
  <si>
    <t>Ejecución del protocolo FAT, pruebas funcionales integradas, comprobación de secuencias e interbloqueos, verificación de seguridad, registro de resultados y elaboración del acta</t>
  </si>
  <si>
    <t>Ejecución de pruebas SAT</t>
  </si>
  <si>
    <t>Ejecución del protocolo SAT en planta, pruebas con producto, verificación de rendimiento, comunicaciones, seguridad, corrección de parámetros y elaboración del acta de aceptación</t>
  </si>
  <si>
    <t>Capacitación de operadores y mantenimiento</t>
  </si>
  <si>
    <t>Ingenieros de automatización y robótica – ANI Especializado 1 IV</t>
  </si>
  <si>
    <t>Preparación y realización de sesiones teóricas y prácticas sobre operación, cambios de formato, diagnóstico, seguridad, recuperación ante fallas y mantenimiento básico</t>
  </si>
  <si>
    <t>SUBTOTAL MANO DE OBRA DE INSTALACIÓN Y PRUEBAS</t>
  </si>
  <si>
    <t>LInks:</t>
  </si>
  <si>
    <t>Transporte, cargue y maniobras de equipos</t>
  </si>
  <si>
    <t>Transporte y manipulación del robot, túnel, conveyors, gabinetes y estructuras</t>
  </si>
  <si>
    <t>Botellas y producto para pruebas de agrupado</t>
  </si>
  <si>
    <t>Producto utilizado durante ajustes, FAT y validación del sistema de agrupado</t>
  </si>
  <si>
    <t>Película termoplástica para pruebas del túnel</t>
  </si>
  <si>
    <t>Material para configurar temperatura, velocidad, corte y calidad del empaque</t>
  </si>
  <si>
    <t>Separadores de cartón para pruebas de paletizado</t>
  </si>
  <si>
    <t>Separadores utilizados para configurar y validar los patrones de paletizado</t>
  </si>
  <si>
    <t>Pallets de reposición para pruebas</t>
  </si>
  <si>
    <t>Pallets adicionales ante daño o desgaste durante FAT o SAT</t>
  </si>
  <si>
    <t>Ventosas de repuesto para el gripper</t>
  </si>
  <si>
    <t>Repuestos para ajustes y pruebas del sistema de vacío</t>
  </si>
  <si>
    <t>Mangueras y racores neumáticos de reposición</t>
  </si>
  <si>
    <t>Material adicional para modificaciones menores durante las pruebas</t>
  </si>
  <si>
    <t>Cableado, terminales y conectores de reposición</t>
  </si>
  <si>
    <t>Material adicional para terminaciones y ajustes durante FAT y SAT</t>
  </si>
  <si>
    <t>Fusibles, relés y protecciones eléctricas de reposición</t>
  </si>
  <si>
    <t>Componentes de reemplazo para pruebas eléctricas y puesta a punto</t>
  </si>
  <si>
    <t>Tornillería, anclajes y elementos de fijación adicionales</t>
  </si>
  <si>
    <t>Elementos utilizados en ajustes mecánicos y correcciones finales</t>
  </si>
  <si>
    <t>Lubricantes, limpiadores y productos de mantenimiento</t>
  </si>
  <si>
    <t>Consumibles utilizados durante ensamble, limpieza técnica y puesta a punto</t>
  </si>
  <si>
    <t>Etiquetas, marcadores y elementos de identificación</t>
  </si>
  <si>
    <t>Marcación de cables, equipos, dispositivos y advertencias</t>
  </si>
  <si>
    <t>Material de embalaje y protección de equipos</t>
  </si>
  <si>
    <t>Plástico, espuma, esquineros y protección para transporte</t>
  </si>
  <si>
    <t>Alquiler de instrumentos de medición y registro</t>
  </si>
  <si>
    <t>Instrumentos para mediciones eléctricas, térmicas y validación</t>
  </si>
  <si>
    <t>Calibración o verificación externa de instrumentos</t>
  </si>
  <si>
    <t>Servicio externo de verificación metrológica para las pruebas</t>
  </si>
  <si>
    <t>Disposición de residuos y materiales utilizados</t>
  </si>
  <si>
    <t>Retiro y disposición de película, embalajes y materiales utilizados</t>
  </si>
  <si>
    <t>SUBTOTAL LOGÍSTICA, VIÁTICOS Y CONSUMIBLES</t>
  </si>
  <si>
    <t>Costos directos totales:</t>
  </si>
  <si>
    <t>Horas Estimadas:</t>
  </si>
  <si>
    <t>Sección</t>
  </si>
  <si>
    <t>Categoria</t>
  </si>
  <si>
    <t>Horas:</t>
  </si>
  <si>
    <t xml:space="preserve">Piezas y equipos mecánicos </t>
  </si>
  <si>
    <t>Tareas de ingeneria:</t>
  </si>
  <si>
    <t>Celda robotizada</t>
  </si>
  <si>
    <t>Semanas:</t>
  </si>
  <si>
    <t>#Nota:</t>
  </si>
  <si>
    <t>Sistema eléctrico y control</t>
  </si>
  <si>
    <t>Total:</t>
  </si>
  <si>
    <t>16-24</t>
  </si>
  <si>
    <t>Dependiendo de disponibilidad de equipo y cronograma final</t>
  </si>
  <si>
    <t>Sensórica y seguridad</t>
  </si>
  <si>
    <t>Software y licencias</t>
  </si>
  <si>
    <t>Costos de ingeniería</t>
  </si>
  <si>
    <t>Instalación y puesta en marcha</t>
  </si>
  <si>
    <t>Costos de Nomina:</t>
  </si>
  <si>
    <t>TOTAL COSTOS DIRECTOS</t>
  </si>
  <si>
    <t>Valor COP</t>
  </si>
  <si>
    <t>Total</t>
  </si>
  <si>
    <t>Flujo de Caja Automatización Linea Quatro 1.5L</t>
  </si>
  <si>
    <t>Datos Base:</t>
  </si>
  <si>
    <t>Beneficios de salud laboral y continuidad</t>
  </si>
  <si>
    <t>Datos operativos</t>
  </si>
  <si>
    <t>Valor</t>
  </si>
  <si>
    <t>Unidad</t>
  </si>
  <si>
    <t>Fuente</t>
  </si>
  <si>
    <t>Beneficios</t>
  </si>
  <si>
    <t>Costo anual base (COP)</t>
  </si>
  <si>
    <t>Reducción atribuible</t>
  </si>
  <si>
    <t>Beneficio esperado (COP/año)</t>
  </si>
  <si>
    <t>Demanda anual estimada de Quatro 1,5 L asignada a la planta</t>
  </si>
  <si>
    <t>botellas/año</t>
  </si>
  <si>
    <t>Documento OEE Botellas Quatro; escenario base con participación de presentación del 60 % y participación de la planta del 30 %</t>
  </si>
  <si>
    <t>Incapacidades y ausentismo pagado</t>
  </si>
  <si>
    <t>Demanda semanal promedio</t>
  </si>
  <si>
    <t>botellas/semana</t>
  </si>
  <si>
    <t>Demanda anual dividida entre 52 semanas</t>
  </si>
  <si>
    <t>Horas extra para reemplazos</t>
  </si>
  <si>
    <t>Turnos programados para Quatro</t>
  </si>
  <si>
    <t>turnos/semana</t>
  </si>
  <si>
    <t>Documento OEE Botellas Quatro; siete turnos semanales de ocho horas</t>
  </si>
  <si>
    <t>Contratación temporal de reemplazos</t>
  </si>
  <si>
    <t>Duración bruta de cada turno</t>
  </si>
  <si>
    <t>h/turno</t>
  </si>
  <si>
    <t>Programación operativa del escenario base</t>
  </si>
  <si>
    <t>Investigaciones y reentrenamiento</t>
  </si>
  <si>
    <t>Tiempo bruto anual asignado a Quatro</t>
  </si>
  <si>
    <t>h/año</t>
  </si>
  <si>
    <t>7 turnos/semana × 8 h/turno × 52 semanas/año</t>
  </si>
  <si>
    <t>Pérdidas de producción por ausencia</t>
  </si>
  <si>
    <t>Tiempo planificado disponible</t>
  </si>
  <si>
    <t>2.675 min/semana × 52 semanas ÷ 60; excluye alistamiento, calidad y saneamiento</t>
  </si>
  <si>
    <t>Rehabilitación o adecuación laboral</t>
  </si>
  <si>
    <t>Capacidad nominal de la línea</t>
  </si>
  <si>
    <t>botellas/h</t>
  </si>
  <si>
    <t>Capacidad limitada por la sopladora TMA A-3000-4</t>
  </si>
  <si>
    <t>Sanciones, reclamaciones o indemnizaciones (valor esperado)</t>
  </si>
  <si>
    <t>Tasa promedio requerida para cubrir la demanda</t>
  </si>
  <si>
    <t>Demanda semanal dividida entre 44,58 horas planificadas por semana</t>
  </si>
  <si>
    <t>Nota</t>
  </si>
  <si>
    <t>Estimaciones preliminares</t>
  </si>
  <si>
    <t>Reemplazar con históricos de nómina, SST, ARL y producción</t>
  </si>
  <si>
    <t>OEE actual</t>
  </si>
  <si>
    <t>%</t>
  </si>
  <si>
    <t>Documento OEE Botellas Quatro; línea con empacado y paletizado manual</t>
  </si>
  <si>
    <t>BENEFICIO ANUAL ESPERADO</t>
  </si>
  <si>
    <t>OEE automatizado</t>
  </si>
  <si>
    <t>Escenario de mejora con agrupado automático, sensórica y celda robotizada</t>
  </si>
  <si>
    <t>Capacidad efectiva anual actual</t>
  </si>
  <si>
    <t>Tiempo planificado anual × capacidad nominal × OEE actual</t>
  </si>
  <si>
    <t>Capacidad efectiva anual automatizada</t>
  </si>
  <si>
    <t>Tiempo planificado anual × capacidad nominal × OEE automatizado</t>
  </si>
  <si>
    <t>Incremento de capacidad efectiva disponible</t>
  </si>
  <si>
    <t>Diferencia entre capacidad automatizada y capacidad actual</t>
  </si>
  <si>
    <t>Producción comercializable reconocida en el escenario base</t>
  </si>
  <si>
    <t>Demanda base incrementada en 1,85 %, limitada por la capacidad efectiva automatizada</t>
  </si>
  <si>
    <t>Producción incremental comercializable reconocida</t>
  </si>
  <si>
    <t>Producción adicional vendible derivada del incremento esperado de demanda</t>
  </si>
  <si>
    <t>Capacidad disponible sobre la demanda después de automatizar</t>
  </si>
  <si>
    <t>Capacidad efectiva automatizada menos demanda anual base</t>
  </si>
  <si>
    <t>Disponibilidad actual</t>
  </si>
  <si>
    <t>MTBF de 180 min dividido entre MTBF más MTTR de 50 min</t>
  </si>
  <si>
    <t>Disponibilidad automatizada estimada</t>
  </si>
  <si>
    <t>Disponibilidad requerida para alcanzar OEE de 80 %, con desempeño de 99,864 % y calidad de 94 %</t>
  </si>
  <si>
    <t>Horas de parada no planificada actuales</t>
  </si>
  <si>
    <t>Tiempo planificado anual multiplicado por uno menos disponibilidad actual</t>
  </si>
  <si>
    <t>Horas de parada no planificada automatizada</t>
  </si>
  <si>
    <t>Tiempo planificado anual multiplicado por uno menos disponibilidad automatizada</t>
  </si>
  <si>
    <t>Reducción anual estimada de paradas no planificadas</t>
  </si>
  <si>
    <t>Diferencia entre paradas actuales y automatizadas</t>
  </si>
  <si>
    <t>Tasa de calidad actual</t>
  </si>
  <si>
    <t>Documento OEE Botellas Quatro; descarte inicial estimado del 7 %</t>
  </si>
  <si>
    <t>Tasa de calidad automatizada</t>
  </si>
  <si>
    <t>Documento OEE Botellas Quatro; mejora por manipulación uniforme y control automático</t>
  </si>
  <si>
    <t>Rechazo actual</t>
  </si>
  <si>
    <t>Uno menos tasa de calidad actual</t>
  </si>
  <si>
    <t>Rechazo automatizado</t>
  </si>
  <si>
    <t>Uno menos tasa de calidad automatizada</t>
  </si>
  <si>
    <t>Reducción del rechazo</t>
  </si>
  <si>
    <t>punto porcentual</t>
  </si>
  <si>
    <t>Diferencia entre rechazo actual y automatizado</t>
  </si>
  <si>
    <t>Botellas rechazadas evitadas</t>
  </si>
  <si>
    <t>Demanda anual de 6.100.000 botellas multiplicada por la reducción del rechazo del 1 %</t>
  </si>
  <si>
    <t>Operarios equivalentes cuyo costo puede evitarse</t>
  </si>
  <si>
    <t>operarios equivalentes</t>
  </si>
  <si>
    <t>Dos operarios de empacado y dos de paletizado; sujeto a reducción de contratación, horas extras o necesidad futura de personal</t>
  </si>
  <si>
    <t>Costo laboral cargado por operario</t>
  </si>
  <si>
    <t>COP/año</t>
  </si>
  <si>
    <t>Incluye salario, prestaciones sociales, seguridad social y cargas empresariales</t>
  </si>
  <si>
    <t>Costo laboral anual potencialmente evitado</t>
  </si>
  <si>
    <t>Cuatro operarios equivalentes multiplicados por el costo laboral cargado</t>
  </si>
  <si>
    <t>Incremento esperado de demanda</t>
  </si>
  <si>
    <t>% anual</t>
  </si>
  <si>
    <t>https://www.despejandodudas.co/index.php/marcas/5123-quatro-celebra-tres-decadas-en-colombia-con-una-campana-sobre-el-sabor-real-de-crecer</t>
  </si>
  <si>
    <t>https://investors.coca-colafemsa.com/assets/files/reportes_resultados_esp/2026/2025-KOF-II-ESP.pdf</t>
  </si>
  <si>
    <t>https://investors.coca-colafemsa.com/assets/files/reportes_trimestrales_en/2022/4q-2022-bmv.pdf</t>
  </si>
  <si>
    <t>Datos económicos</t>
  </si>
  <si>
    <t>Precio de venta sin IVA</t>
  </si>
  <si>
    <t>COP/botella</t>
  </si>
  <si>
    <t>Hoja APU del proyecto</t>
  </si>
  <si>
    <t>Costo variable unitario</t>
  </si>
  <si>
    <t>Margen de contribución unitario</t>
  </si>
  <si>
    <t>Precio de venta menos costo variable unitario</t>
  </si>
  <si>
    <t>Crecimiento anual de precios</t>
  </si>
  <si>
    <t>Supuesto financiero del escenario base</t>
  </si>
  <si>
    <t>Crecimiento anual de costos operacionales</t>
  </si>
  <si>
    <t>Crecimiento anual del costo laboral</t>
  </si>
  <si>
    <t>Tasa de impuesto de renta</t>
  </si>
  <si>
    <t>Supuesto tributario utilizado para el análisis incremental</t>
  </si>
  <si>
    <t>Tasa de descuento</t>
  </si>
  <si>
    <t>% EA</t>
  </si>
  <si>
    <t>Tasa mínima atractiva de retorno del proyecto</t>
  </si>
  <si>
    <t>Horizonte de evaluación</t>
  </si>
  <si>
    <t>años</t>
  </si>
  <si>
    <t>Criterio de evaluación económica del proyecto</t>
  </si>
  <si>
    <t>Vida depreciable</t>
  </si>
  <si>
    <t>Simplificación académica para el sistema de maquinaria y automatización</t>
  </si>
  <si>
    <t>Base depreciable adoptada</t>
  </si>
  <si>
    <t>COP</t>
  </si>
  <si>
    <t>Se adopta académicamente el precio comercial del proyecto como base depreciable</t>
  </si>
  <si>
    <t>Depreciación anual</t>
  </si>
  <si>
    <t>Base depreciable dividida entre una vida útil de diez años</t>
  </si>
  <si>
    <t>Valor residual</t>
  </si>
  <si>
    <t>% del CAPEX</t>
  </si>
  <si>
    <t>Supuesto conservador al final del horizonte de evaluación</t>
  </si>
  <si>
    <t>Valor residual en el año 5</t>
  </si>
  <si>
    <t>10 % del CAPEX inicial</t>
  </si>
  <si>
    <t>Porcentaje anual de mantenimiento</t>
  </si>
  <si>
    <t>Supuesto para mantenimiento preventivo y correctivo del sistema automatizado</t>
  </si>
  <si>
    <t>Mantenimiento estimado del primer año</t>
  </si>
  <si>
    <t>3 % del CAPEX actualizado</t>
  </si>
  <si>
    <t>CAPEX inicial</t>
  </si>
  <si>
    <t>Precio comercial actualizado del presupuesto técnico-comercial antes del tratamiento final del IVA</t>
  </si>
  <si>
    <t>Inversion inicial (Año 0) :</t>
  </si>
  <si>
    <t>Valor (COP)</t>
  </si>
  <si>
    <t>Piezas y equipos mecánicos</t>
  </si>
  <si>
    <t>Presupuesto técnico-comercial</t>
  </si>
  <si>
    <t>Sensórica e instrumentación</t>
  </si>
  <si>
    <t>Ingeniería y desarrollo</t>
  </si>
  <si>
    <t>Mano de obra de instalación, puesta en marcha y pruebas</t>
  </si>
  <si>
    <t>Logística, transporte y consumibles de prueba</t>
  </si>
  <si>
    <t>7 % de los costos directos actualizados</t>
  </si>
  <si>
    <t>Costos operacionales de ejecución</t>
  </si>
  <si>
    <t>Utilidad comercial de Nexum Automation</t>
  </si>
  <si>
    <t>Markup del 15 % sobre el costo total antes de utilidad</t>
  </si>
  <si>
    <t>INVERSIÓN INICIAL TOTAL</t>
  </si>
  <si>
    <t>Precio comercial del proyecto antes del tratamiento final del IVA</t>
  </si>
  <si>
    <t>CAPEX INICIAL</t>
  </si>
  <si>
    <t>Inversión utilizada en el flujo de caja del cliente</t>
  </si>
  <si>
    <t>Costos de operación:</t>
  </si>
  <si>
    <t>Costo de operación</t>
  </si>
  <si>
    <t>Año 1</t>
  </si>
  <si>
    <t>Año 2</t>
  </si>
  <si>
    <t>Año 3</t>
  </si>
  <si>
    <t>Año 4</t>
  </si>
  <si>
    <t>Año 5</t>
  </si>
  <si>
    <t>Mantenimiento preventivo y correctivo</t>
  </si>
  <si>
    <t>Consumo adicional de energía</t>
  </si>
  <si>
    <t>Soporte de software y comunicaciones</t>
  </si>
  <si>
    <t>Capacitación y actualización de operadores</t>
  </si>
  <si>
    <t>Repuestos y consumibles de mantenimiento</t>
  </si>
  <si>
    <t>COSTOS DE OPERACIÓN TOTALES</t>
  </si>
  <si>
    <t xml:space="preserve">Flujo Neto </t>
  </si>
  <si>
    <t>Indicadores del proyecto</t>
  </si>
  <si>
    <t>VPN</t>
  </si>
  <si>
    <t>Año 0</t>
  </si>
  <si>
    <t>TIR</t>
  </si>
  <si>
    <t>Beneficios económicos totales</t>
  </si>
  <si>
    <t>Payback simple</t>
  </si>
  <si>
    <t>Costos de operación totales</t>
  </si>
  <si>
    <t>ROI acumulado</t>
  </si>
  <si>
    <t>EBITDA incremental</t>
  </si>
  <si>
    <t>Relación beneficio/costo</t>
  </si>
  <si>
    <t>Depreciación</t>
  </si>
  <si>
    <t>Criterio de decisión</t>
  </si>
  <si>
    <t>VPN &gt; 0 y TIR &gt; tasa de descuento</t>
  </si>
  <si>
    <t>EBIT</t>
  </si>
  <si>
    <t>Resultado</t>
  </si>
  <si>
    <t>Impuesto de renta</t>
  </si>
  <si>
    <t>Depreciación sumada nuevamente</t>
  </si>
  <si>
    <t>Flujo operativo después de impuestos</t>
  </si>
  <si>
    <t>Inversión inicial CAPEX</t>
  </si>
  <si>
    <t>FLUJO NETO DEL PROYECTO</t>
  </si>
  <si>
    <t>FLUJO ACUMULADO</t>
  </si>
  <si>
    <t>Factor de descuento</t>
  </si>
  <si>
    <t>FLUJO NETO DESCONTADO</t>
  </si>
  <si>
    <t>FLUJO ACUMULADO DESCONTADO</t>
  </si>
  <si>
    <t>Beneficio Economicos:</t>
  </si>
  <si>
    <t>Beneficio económico</t>
  </si>
  <si>
    <t>Margen por producción adicional</t>
  </si>
  <si>
    <t>Ahorro por reducción del rechazo</t>
  </si>
  <si>
    <t>Costos laborales evitados</t>
  </si>
  <si>
    <t>Beneficios por reducción de ausentismo y riesgos laborales</t>
  </si>
  <si>
    <t>BENEFICIOS ECONÓMICOS TOTALES</t>
  </si>
  <si>
    <t>Indicadores economicos</t>
  </si>
  <si>
    <t>Indicador</t>
  </si>
  <si>
    <t>Interpretación</t>
  </si>
  <si>
    <t>VPN positivo: los beneficios descontados superan la inversión y la rentabilidad requerida.</t>
  </si>
  <si>
    <t>TIR superior a la tasa mínima requerida del 14 %.</t>
  </si>
  <si>
    <t>Recuperación simple de la inversión dentro del horizonte evaluado.</t>
  </si>
  <si>
    <t>Payback descontado</t>
  </si>
  <si>
    <t>Recuperación considerando el valor del dinero en el tiempo.</t>
  </si>
  <si>
    <t>ROI acumulado a cinco años</t>
  </si>
  <si>
    <t>Rentabilidad acumulada respecto a la inversión inicial.</t>
  </si>
  <si>
    <t>ROI acumulado expresado como múltiplo</t>
  </si>
  <si>
    <t>veces</t>
  </si>
  <si>
    <t>Resultado acumulado expresado como múltiplo de la inversión.</t>
  </si>
  <si>
    <t>Beneficios actualizados por cada peso de costos actualizados.</t>
  </si>
  <si>
    <t>Tasa mínima atractiva de retorno utilizada.</t>
  </si>
  <si>
    <t>Decisión</t>
  </si>
  <si>
    <t>El proyecto requiere VPN positivo y TIR superior al 14 %.</t>
  </si>
  <si>
    <t>Viable bajo el supuesto de aumento de demanda del 5 % y los costos esperados evitados indicados.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</si>
</sst>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0"/>
    <numFmt numFmtId="165" formatCode="&quot;$&quot;#,##0"/>
    <numFmt numFmtId="166" formatCode="#,##0.0"/>
    <numFmt numFmtId="167" formatCode="&quot;$&quot;#,##0;[Red](&quot;$&quot;#,##0)"/>
    <numFmt numFmtId="168" formatCode="&quot;$&quot;#,##0;[Red](&quot;$&quot;#,##0);-"/>
    <numFmt numFmtId="169" formatCode="0.00 &quot;años&quot;"/>
    <numFmt numFmtId="170" formatCode="0.000"/>
    <numFmt numFmtId="171" formatCode="$#,##0;[Red]($#,##0);-"/>
    <numFmt numFmtId="172" formatCode="$#,##0;[Red]($#,##0)"/>
    <numFmt numFmtId="173" formatCode="0.0%"/>
    <numFmt numFmtId="174" formatCode="0.00x"/>
  </numFmts>
  <fonts count="26">
    <font>
      <sz val="10.0"/>
      <color rgb="FF000000"/>
      <name val="Arial"/>
      <scheme val="minor"/>
    </font>
    <font>
      <sz val="15.0"/>
      <color rgb="FF000000"/>
      <name val="Arial"/>
    </font>
    <font/>
    <font>
      <color theme="1"/>
      <name val="Arial"/>
    </font>
    <font>
      <b/>
      <sz val="19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24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>
      <u/>
      <color rgb="FF0000FF"/>
      <name val="Arial"/>
    </font>
    <font>
      <u/>
      <color rgb="FF1155CC"/>
      <name val="Arial"/>
    </font>
    <font>
      <color rgb="FF1155CC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sz val="12.0"/>
      <color rgb="FF000000"/>
      <name val="Times New Roman"/>
    </font>
    <font>
      <sz val="10.0"/>
      <color rgb="FF000000"/>
      <name val="Arial"/>
    </font>
    <font>
      <u/>
      <color rgb="FF0000FF"/>
    </font>
    <font>
      <u/>
      <color rgb="FF0000FF"/>
    </font>
    <font>
      <color rgb="FFFFFFFF"/>
      <name val="Arial"/>
    </font>
    <font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3" fontId="3" numFmtId="0" xfId="0" applyFill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4" fontId="5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9" fillId="0" fontId="6" numFmtId="0" xfId="0" applyBorder="1" applyFont="1"/>
    <xf borderId="9" fillId="0" fontId="6" numFmtId="0" xfId="0" applyAlignment="1" applyBorder="1" applyFont="1">
      <alignment shrinkToFit="0" wrapText="1"/>
    </xf>
    <xf borderId="1" fillId="5" fontId="7" numFmtId="0" xfId="0" applyAlignment="1" applyBorder="1" applyFill="1" applyFont="1">
      <alignment vertical="center"/>
    </xf>
    <xf borderId="4" fillId="0" fontId="7" numFmtId="0" xfId="0" applyAlignment="1" applyBorder="1" applyFont="1">
      <alignment vertical="center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shrinkToFit="0" wrapText="0"/>
    </xf>
    <xf borderId="12" fillId="5" fontId="9" numFmtId="0" xfId="0" applyBorder="1" applyFont="1"/>
    <xf borderId="9" fillId="0" fontId="10" numFmtId="0" xfId="0" applyAlignment="1" applyBorder="1" applyFont="1">
      <alignment shrinkToFit="0" wrapText="0"/>
    </xf>
    <xf borderId="11" fillId="0" fontId="10" numFmtId="0" xfId="0" applyBorder="1" applyFont="1"/>
    <xf borderId="0" fillId="0" fontId="10" numFmtId="0" xfId="0" applyFont="1"/>
    <xf borderId="0" fillId="0" fontId="10" numFmtId="0" xfId="0" applyAlignment="1" applyFont="1">
      <alignment shrinkToFit="0" wrapText="0"/>
    </xf>
    <xf borderId="0" fillId="0" fontId="11" numFmtId="0" xfId="0" applyAlignment="1" applyFont="1">
      <alignment shrinkToFit="0" wrapText="0"/>
    </xf>
    <xf borderId="1" fillId="5" fontId="7" numFmtId="0" xfId="0" applyAlignment="1" applyBorder="1" applyFont="1">
      <alignment shrinkToFit="0" vertical="center" wrapText="0"/>
    </xf>
    <xf borderId="13" fillId="5" fontId="7" numFmtId="0" xfId="0" applyAlignment="1" applyBorder="1" applyFont="1">
      <alignment vertical="center"/>
    </xf>
    <xf borderId="0" fillId="6" fontId="7" numFmtId="0" xfId="0" applyAlignment="1" applyFill="1" applyFont="1">
      <alignment shrinkToFit="0" vertical="center" wrapText="0"/>
    </xf>
    <xf borderId="0" fillId="6" fontId="7" numFmtId="0" xfId="0" applyAlignment="1" applyFont="1">
      <alignment vertical="center"/>
    </xf>
    <xf borderId="14" fillId="0" fontId="2" numFmtId="0" xfId="0" applyBorder="1" applyFont="1"/>
    <xf borderId="0" fillId="6" fontId="3" numFmtId="0" xfId="0" applyFont="1"/>
    <xf borderId="13" fillId="4" fontId="12" numFmtId="0" xfId="0" applyBorder="1" applyFont="1"/>
    <xf borderId="0" fillId="0" fontId="12" numFmtId="0" xfId="0" applyAlignment="1" applyFont="1">
      <alignment shrinkToFit="0" wrapText="0"/>
    </xf>
    <xf borderId="1" fillId="4" fontId="12" numFmtId="0" xfId="0" applyAlignment="1" applyBorder="1" applyFont="1">
      <alignment shrinkToFit="0" wrapText="0"/>
    </xf>
    <xf borderId="12" fillId="5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center" shrinkToFit="0" vertical="bottom" wrapText="0"/>
    </xf>
    <xf borderId="12" fillId="0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vertical="bottom"/>
    </xf>
    <xf borderId="12" fillId="0" fontId="5" numFmtId="0" xfId="0" applyAlignment="1" applyBorder="1" applyFont="1">
      <alignment shrinkToFit="0" vertical="bottom" wrapText="0"/>
    </xf>
    <xf borderId="12" fillId="5" fontId="5" numFmtId="0" xfId="0" applyAlignment="1" applyBorder="1" applyFont="1">
      <alignment horizontal="center" shrinkToFit="0" vertical="bottom" wrapText="0"/>
    </xf>
    <xf borderId="12" fillId="0" fontId="5" numFmtId="0" xfId="0" applyAlignment="1" applyBorder="1" applyFont="1">
      <alignment shrinkToFit="0" vertical="bottom" wrapText="0"/>
    </xf>
    <xf borderId="12" fillId="5" fontId="8" numFmtId="0" xfId="0" applyAlignment="1" applyBorder="1" applyFont="1">
      <alignment vertical="bottom"/>
    </xf>
    <xf borderId="12" fillId="0" fontId="3" numFmtId="0" xfId="0" applyAlignment="1" applyBorder="1" applyFont="1">
      <alignment horizontal="right" shrinkToFit="0" vertical="bottom" wrapText="0"/>
    </xf>
    <xf borderId="12" fillId="0" fontId="3" numFmtId="164" xfId="0" applyAlignment="1" applyBorder="1" applyFont="1" applyNumberFormat="1">
      <alignment horizontal="right" vertical="bottom"/>
    </xf>
    <xf borderId="12" fillId="0" fontId="13" numFmtId="0" xfId="0" applyAlignment="1" applyBorder="1" applyFont="1">
      <alignment shrinkToFit="0" vertical="bottom" wrapText="0"/>
    </xf>
    <xf borderId="12" fillId="5" fontId="8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12" fillId="0" fontId="14" numFmtId="0" xfId="0" applyAlignment="1" applyBorder="1" applyFont="1">
      <alignment shrinkToFit="0" vertical="bottom" wrapText="0"/>
    </xf>
    <xf borderId="12" fillId="0" fontId="15" numFmtId="0" xfId="0" applyAlignment="1" applyBorder="1" applyFont="1">
      <alignment shrinkToFit="0" vertical="bottom" wrapText="0"/>
    </xf>
    <xf borderId="12" fillId="0" fontId="3" numFmtId="164" xfId="0" applyAlignment="1" applyBorder="1" applyFont="1" applyNumberFormat="1">
      <alignment vertical="bottom"/>
    </xf>
    <xf borderId="0" fillId="6" fontId="12" numFmtId="0" xfId="0" applyFont="1"/>
    <xf borderId="0" fillId="6" fontId="12" numFmtId="0" xfId="0" applyAlignment="1" applyFont="1">
      <alignment shrinkToFit="0" wrapText="0"/>
    </xf>
    <xf borderId="1" fillId="4" fontId="12" numFmtId="0" xfId="0" applyAlignment="1" applyBorder="1" applyFont="1">
      <alignment shrinkToFit="0" vertical="bottom" wrapText="0"/>
    </xf>
    <xf borderId="12" fillId="0" fontId="3" numFmtId="9" xfId="0" applyAlignment="1" applyBorder="1" applyFont="1" applyNumberFormat="1">
      <alignment horizontal="right" vertical="bottom"/>
    </xf>
    <xf borderId="12" fillId="0" fontId="3" numFmtId="164" xfId="0" applyAlignment="1" applyBorder="1" applyFont="1" applyNumberFormat="1">
      <alignment shrinkToFit="0" vertical="bottom" wrapText="0"/>
    </xf>
    <xf borderId="12" fillId="0" fontId="3" numFmtId="164" xfId="0" applyAlignment="1" applyBorder="1" applyFont="1" applyNumberFormat="1">
      <alignment shrinkToFit="0" vertical="bottom" wrapText="0"/>
    </xf>
    <xf borderId="12" fillId="0" fontId="15" numFmtId="164" xfId="0" applyAlignment="1" applyBorder="1" applyFont="1" applyNumberForma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horizontal="right" vertical="bottom"/>
    </xf>
    <xf borderId="12" fillId="0" fontId="15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shrinkToFit="0" wrapText="0"/>
    </xf>
    <xf borderId="12" fillId="0" fontId="3" numFmtId="164" xfId="0" applyBorder="1" applyFont="1" applyNumberFormat="1"/>
    <xf borderId="12" fillId="0" fontId="3" numFmtId="0" xfId="0" applyAlignment="1" applyBorder="1" applyFont="1">
      <alignment shrinkToFit="0" wrapText="0"/>
    </xf>
    <xf borderId="12" fillId="0" fontId="16" numFmtId="0" xfId="0" applyAlignment="1" applyBorder="1" applyFont="1">
      <alignment shrinkToFit="0" wrapText="0"/>
    </xf>
    <xf borderId="0" fillId="0" fontId="3" numFmtId="0" xfId="0" applyFont="1"/>
    <xf borderId="12" fillId="0" fontId="3" numFmtId="165" xfId="0" applyAlignment="1" applyBorder="1" applyFont="1" applyNumberFormat="1">
      <alignment horizontal="right" vertical="bottom"/>
    </xf>
    <xf borderId="12" fillId="0" fontId="17" numFmtId="0" xfId="0" applyAlignment="1" applyBorder="1" applyFont="1">
      <alignment shrinkToFit="0" vertical="bottom" wrapText="0"/>
    </xf>
    <xf borderId="12" fillId="0" fontId="18" numFmtId="0" xfId="0" applyAlignment="1" applyBorder="1" applyFont="1">
      <alignment shrinkToFit="0" wrapText="0"/>
    </xf>
    <xf borderId="12" fillId="0" fontId="15" numFmtId="164" xfId="0" applyAlignment="1" applyBorder="1" applyFont="1" applyNumberFormat="1">
      <alignment shrinkToFit="0" vertical="bottom" wrapText="0"/>
    </xf>
    <xf borderId="12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2" fillId="7" fontId="3" numFmtId="0" xfId="0" applyBorder="1" applyFill="1" applyFont="1"/>
    <xf borderId="12" fillId="0" fontId="19" numFmtId="0" xfId="0" applyAlignment="1" applyBorder="1" applyFont="1">
      <alignment shrinkToFit="0" wrapText="0"/>
    </xf>
    <xf borderId="12" fillId="0" fontId="3" numFmtId="0" xfId="0" applyBorder="1" applyFont="1"/>
    <xf borderId="0" fillId="0" fontId="20" numFmtId="165" xfId="0" applyAlignment="1" applyFont="1" applyNumberFormat="1">
      <alignment horizontal="right" shrinkToFit="0" wrapText="1"/>
    </xf>
    <xf borderId="0" fillId="0" fontId="20" numFmtId="164" xfId="0" applyAlignment="1" applyFont="1" applyNumberFormat="1">
      <alignment horizontal="right" shrinkToFit="0" wrapText="1"/>
    </xf>
    <xf borderId="12" fillId="0" fontId="3" numFmtId="164" xfId="0" applyAlignment="1" applyBorder="1" applyFont="1" applyNumberFormat="1">
      <alignment horizontal="right" shrinkToFit="0" vertical="bottom" wrapText="0"/>
    </xf>
    <xf borderId="1" fillId="4" fontId="12" numFmtId="0" xfId="0" applyBorder="1" applyFont="1"/>
    <xf borderId="12" fillId="0" fontId="5" numFmtId="0" xfId="0" applyAlignment="1" applyBorder="1" applyFont="1">
      <alignment horizontal="center" shrinkToFit="0" vertical="bottom" wrapText="0"/>
    </xf>
    <xf borderId="0" fillId="0" fontId="3" numFmtId="164" xfId="0" applyFont="1" applyNumberFormat="1"/>
    <xf borderId="12" fillId="0" fontId="3" numFmtId="0" xfId="0" applyAlignment="1" applyBorder="1" applyFont="1">
      <alignment horizontal="right" shrinkToFit="0" vertical="bottom" wrapText="0"/>
    </xf>
    <xf borderId="9" fillId="0" fontId="5" numFmtId="0" xfId="0" applyAlignment="1" applyBorder="1" applyFont="1">
      <alignment horizontal="center" vertical="bottom"/>
    </xf>
    <xf borderId="9" fillId="0" fontId="3" numFmtId="0" xfId="0" applyBorder="1" applyFont="1"/>
    <xf borderId="12" fillId="0" fontId="3" numFmtId="164" xfId="0" applyAlignment="1" applyBorder="1" applyFont="1" applyNumberFormat="1">
      <alignment shrinkToFit="0" wrapText="0"/>
    </xf>
    <xf borderId="1" fillId="5" fontId="12" numFmtId="0" xfId="0" applyAlignment="1" applyBorder="1" applyFont="1">
      <alignment vertical="center"/>
    </xf>
    <xf borderId="12" fillId="4" fontId="8" numFmtId="0" xfId="0" applyAlignment="1" applyBorder="1" applyFont="1">
      <alignment horizontal="left" shrinkToFit="0" vertical="top" wrapText="0"/>
    </xf>
    <xf borderId="9" fillId="4" fontId="8" numFmtId="0" xfId="0" applyAlignment="1" applyBorder="1" applyFont="1">
      <alignment horizontal="left" shrinkToFit="0" vertical="top" wrapText="1"/>
    </xf>
    <xf borderId="10" fillId="4" fontId="8" numFmtId="0" xfId="0" applyAlignment="1" applyBorder="1" applyFont="1">
      <alignment horizontal="left" shrinkToFit="0" vertical="top" wrapText="1"/>
    </xf>
    <xf borderId="11" fillId="4" fontId="8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left" shrinkToFit="0" wrapText="1"/>
    </xf>
    <xf borderId="12" fillId="0" fontId="21" numFmtId="0" xfId="0" applyAlignment="1" applyBorder="1" applyFont="1">
      <alignment shrinkToFit="0" vertical="bottom" wrapText="1"/>
    </xf>
    <xf borderId="12" fillId="0" fontId="21" numFmtId="165" xfId="0" applyAlignment="1" applyBorder="1" applyFont="1" applyNumberFormat="1">
      <alignment shrinkToFit="0" vertical="bottom" wrapText="1"/>
    </xf>
    <xf borderId="12" fillId="0" fontId="21" numFmtId="9" xfId="0" applyAlignment="1" applyBorder="1" applyFont="1" applyNumberFormat="1">
      <alignment shrinkToFit="0" vertical="bottom" wrapText="1"/>
    </xf>
    <xf borderId="12" fillId="0" fontId="3" numFmtId="10" xfId="0" applyAlignment="1" applyBorder="1" applyFont="1" applyNumberFormat="1">
      <alignment horizontal="left"/>
    </xf>
    <xf borderId="12" fillId="0" fontId="3" numFmtId="3" xfId="0" applyBorder="1" applyFont="1" applyNumberFormat="1"/>
    <xf borderId="9" fillId="0" fontId="3" numFmtId="0" xfId="0" applyAlignment="1" applyBorder="1" applyFont="1">
      <alignment shrinkToFit="0" wrapText="1"/>
    </xf>
    <xf borderId="12" fillId="0" fontId="3" numFmtId="10" xfId="0" applyBorder="1" applyFont="1" applyNumberFormat="1"/>
    <xf borderId="12" fillId="0" fontId="3" numFmtId="166" xfId="0" applyBorder="1" applyFont="1" applyNumberFormat="1"/>
    <xf borderId="12" fillId="0" fontId="3" numFmtId="1" xfId="0" applyBorder="1" applyFont="1" applyNumberFormat="1"/>
    <xf borderId="12" fillId="0" fontId="3" numFmtId="165" xfId="0" applyBorder="1" applyFont="1" applyNumberFormat="1"/>
    <xf borderId="12" fillId="0" fontId="21" numFmtId="10" xfId="0" applyAlignment="1" applyBorder="1" applyFont="1" applyNumberFormat="1">
      <alignment shrinkToFit="0" vertical="bottom" wrapText="0"/>
    </xf>
    <xf borderId="9" fillId="0" fontId="22" numFmtId="0" xfId="0" applyAlignment="1" applyBorder="1" applyFont="1">
      <alignment shrinkToFit="0" wrapText="0"/>
    </xf>
    <xf borderId="9" fillId="0" fontId="23" numFmtId="0" xfId="0" applyBorder="1" applyFont="1"/>
    <xf borderId="12" fillId="4" fontId="8" numFmtId="0" xfId="0" applyAlignment="1" applyBorder="1" applyFont="1">
      <alignment horizontal="left"/>
    </xf>
    <xf borderId="9" fillId="4" fontId="8" numFmtId="0" xfId="0" applyAlignment="1" applyBorder="1" applyFont="1">
      <alignment horizontal="left" shrinkToFit="0" wrapText="1"/>
    </xf>
    <xf borderId="12" fillId="0" fontId="3" numFmtId="164" xfId="0" applyAlignment="1" applyBorder="1" applyFont="1" applyNumberFormat="1">
      <alignment horizontal="right"/>
    </xf>
    <xf borderId="12" fillId="0" fontId="3" numFmtId="10" xfId="0" applyAlignment="1" applyBorder="1" applyFont="1" applyNumberFormat="1">
      <alignment horizontal="right"/>
    </xf>
    <xf borderId="12" fillId="0" fontId="3" numFmtId="0" xfId="0" applyAlignment="1" applyBorder="1" applyFont="1">
      <alignment horizontal="right"/>
    </xf>
    <xf borderId="12" fillId="4" fontId="8" numFmtId="0" xfId="0" applyAlignment="1" applyBorder="1" applyFont="1">
      <alignment horizontal="left" shrinkToFit="0" wrapText="1"/>
    </xf>
    <xf borderId="12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right"/>
    </xf>
    <xf borderId="0" fillId="6" fontId="24" numFmtId="0" xfId="0" applyFont="1"/>
    <xf borderId="0" fillId="6" fontId="25" numFmtId="167" xfId="0" applyAlignment="1" applyFont="1" applyNumberFormat="1">
      <alignment shrinkToFit="0" vertical="bottom" wrapText="0"/>
    </xf>
    <xf borderId="12" fillId="4" fontId="8" numFmtId="0" xfId="0" applyBorder="1" applyFont="1"/>
    <xf borderId="12" fillId="4" fontId="8" numFmtId="164" xfId="0" applyAlignment="1" applyBorder="1" applyFont="1" applyNumberFormat="1">
      <alignment horizontal="right"/>
    </xf>
    <xf borderId="0" fillId="6" fontId="25" numFmtId="10" xfId="0" applyAlignment="1" applyFont="1" applyNumberFormat="1">
      <alignment shrinkToFit="0" vertical="bottom" wrapText="0"/>
    </xf>
    <xf borderId="12" fillId="0" fontId="3" numFmtId="168" xfId="0" applyAlignment="1" applyBorder="1" applyFont="1" applyNumberFormat="1">
      <alignment horizontal="right"/>
    </xf>
    <xf borderId="12" fillId="0" fontId="3" numFmtId="168" xfId="0" applyBorder="1" applyFont="1" applyNumberFormat="1"/>
    <xf borderId="12" fillId="0" fontId="21" numFmtId="168" xfId="0" applyAlignment="1" applyBorder="1" applyFont="1" applyNumberFormat="1">
      <alignment shrinkToFit="0" vertical="bottom" wrapText="0"/>
    </xf>
    <xf borderId="0" fillId="6" fontId="25" numFmtId="169" xfId="0" applyAlignment="1" applyFont="1" applyNumberFormat="1">
      <alignment shrinkToFit="0" vertical="bottom" wrapText="0"/>
    </xf>
    <xf borderId="0" fillId="6" fontId="25" numFmtId="2" xfId="0" applyAlignment="1" applyFont="1" applyNumberFormat="1">
      <alignment shrinkToFit="0" vertical="bottom" wrapText="0"/>
    </xf>
    <xf borderId="12" fillId="0" fontId="3" numFmtId="170" xfId="0" applyBorder="1" applyFont="1" applyNumberFormat="1"/>
    <xf borderId="12" fillId="0" fontId="21" numFmtId="170" xfId="0" applyAlignment="1" applyBorder="1" applyFont="1" applyNumberFormat="1">
      <alignment shrinkToFit="0" vertical="bottom" wrapText="0"/>
    </xf>
    <xf borderId="0" fillId="0" fontId="21" numFmtId="171" xfId="0" applyAlignment="1" applyFont="1" applyNumberFormat="1">
      <alignment shrinkToFit="0" vertical="bottom" wrapText="0"/>
    </xf>
    <xf borderId="1" fillId="5" fontId="12" numFmtId="0" xfId="0" applyBorder="1" applyFont="1"/>
    <xf borderId="12" fillId="4" fontId="8" numFmtId="0" xfId="0" applyAlignment="1" applyBorder="1" applyFont="1">
      <alignment vertical="bottom"/>
    </xf>
    <xf borderId="12" fillId="0" fontId="21" numFmtId="165" xfId="0" applyAlignment="1" applyBorder="1" applyFont="1" applyNumberFormat="1">
      <alignment shrinkToFit="0" vertical="bottom" wrapText="0"/>
    </xf>
    <xf borderId="12" fillId="4" fontId="8" numFmtId="0" xfId="0" applyAlignment="1" applyBorder="1" applyFont="1">
      <alignment shrinkToFit="0" wrapText="1"/>
    </xf>
    <xf borderId="12" fillId="0" fontId="3" numFmtId="167" xfId="0" applyBorder="1" applyFont="1" applyNumberFormat="1"/>
    <xf borderId="12" fillId="0" fontId="3" numFmtId="172" xfId="0" applyBorder="1" applyFont="1" applyNumberFormat="1"/>
    <xf borderId="12" fillId="0" fontId="3" numFmtId="172" xfId="0" applyAlignment="1" applyBorder="1" applyFont="1" applyNumberFormat="1">
      <alignment shrinkToFit="0" wrapText="1"/>
    </xf>
    <xf borderId="12" fillId="0" fontId="3" numFmtId="173" xfId="0" applyBorder="1" applyFont="1" applyNumberFormat="1"/>
    <xf borderId="12" fillId="0" fontId="3" numFmtId="173" xfId="0" applyAlignment="1" applyBorder="1" applyFont="1" applyNumberFormat="1">
      <alignment shrinkToFit="0" wrapText="1"/>
    </xf>
    <xf borderId="12" fillId="0" fontId="3" numFmtId="169" xfId="0" applyBorder="1" applyFont="1" applyNumberFormat="1"/>
    <xf borderId="12" fillId="0" fontId="3" numFmtId="169" xfId="0" applyAlignment="1" applyBorder="1" applyFont="1" applyNumberFormat="1">
      <alignment shrinkToFit="0" wrapText="1"/>
    </xf>
    <xf borderId="12" fillId="0" fontId="3" numFmtId="174" xfId="0" applyBorder="1" applyFont="1" applyNumberFormat="1"/>
    <xf borderId="12" fillId="0" fontId="3" numFmtId="174" xfId="0" applyAlignment="1" applyBorder="1" applyFont="1" applyNumberFormat="1">
      <alignment shrinkToFit="0" wrapText="1"/>
    </xf>
    <xf borderId="12" fillId="0" fontId="3" numFmtId="10" xfId="0" applyAlignment="1" applyBorder="1" applyFont="1" applyNumberFormat="1">
      <alignment shrinkToFit="0" wrapText="1"/>
    </xf>
    <xf borderId="12" fillId="0" fontId="3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equipackmx.com.mx/producto/tunel-o-horno-de-calor-para-productos-termoencogibles-grandes-bs-5540m/" TargetMode="External"/><Relationship Id="rId22" Type="http://schemas.openxmlformats.org/officeDocument/2006/relationships/hyperlink" Target="https://www.acerlamayr.co/empresas-de-metalmecanica-especializadas-en-laminas-de-acero-inoxidable-en-bogota-colombia/" TargetMode="External"/><Relationship Id="rId21" Type="http://schemas.openxmlformats.org/officeDocument/2006/relationships/hyperlink" Target="https://www.acerlamayr.co/empresas-de-metalmecanica-especializadas-en-laminas-de-acero-inoxidable-en-bogota-colombia/" TargetMode="External"/><Relationship Id="rId24" Type="http://schemas.openxmlformats.org/officeDocument/2006/relationships/hyperlink" Target="https://www.indurob.com/banda-sobre-rodillos/" TargetMode="External"/><Relationship Id="rId23" Type="http://schemas.openxmlformats.org/officeDocument/2006/relationships/hyperlink" Target="https://www.acerlamayr.co/empresas-de-metalmecanica-especializadas-en-laminas-de-acero-inoxidable-en-bogota-colombia/" TargetMode="External"/><Relationship Id="rId1" Type="http://schemas.openxmlformats.org/officeDocument/2006/relationships/hyperlink" Target="https://www.indurob.com/banda-sobre-rodillos/" TargetMode="External"/><Relationship Id="rId2" Type="http://schemas.openxmlformats.org/officeDocument/2006/relationships/hyperlink" Target="https://www.homecenter.com.co/homecenter-co/product/156252/tubo-cuadrado-70-x-70-x-15mm-x-6m-estructural-hr50/156252/" TargetMode="External"/><Relationship Id="rId3" Type="http://schemas.openxmlformats.org/officeDocument/2006/relationships/hyperlink" Target="https://www.igus.com/product/20531?artNr=DLE-SA-0004" TargetMode="External"/><Relationship Id="rId4" Type="http://schemas.openxmlformats.org/officeDocument/2006/relationships/hyperlink" Target="https://www.igus.com/automation/xy-actuator" TargetMode="External"/><Relationship Id="rId9" Type="http://schemas.openxmlformats.org/officeDocument/2006/relationships/hyperlink" Target="https://www.acerlamayr.co/empresas-de-metalmecanica-especializadas-en-laminas-de-acero-inoxidable-en-bogota-colombia/" TargetMode="External"/><Relationship Id="rId26" Type="http://schemas.openxmlformats.org/officeDocument/2006/relationships/hyperlink" Target="https://www.acerlamayr.co/empresas-de-metalmecanica-especializadas-en-laminas-de-acero-inoxidable-en-bogota-colombia/" TargetMode="External"/><Relationship Id="rId25" Type="http://schemas.openxmlformats.org/officeDocument/2006/relationships/hyperlink" Target="https://www.indurob.com/banda-sobre-rodillos/" TargetMode="External"/><Relationship Id="rId28" Type="http://schemas.openxmlformats.org/officeDocument/2006/relationships/hyperlink" Target="https://www.sick.com/es/es/catalog/productos/sensores-de-deteccion/rejillas-fotoelectricas/c/g176262" TargetMode="External"/><Relationship Id="rId27" Type="http://schemas.openxmlformats.org/officeDocument/2006/relationships/hyperlink" Target="https://www.sick.com/es/es/catalog/productos/sensores-de-deteccion/c/g568257" TargetMode="External"/><Relationship Id="rId5" Type="http://schemas.openxmlformats.org/officeDocument/2006/relationships/hyperlink" Target="https://www.igus.com/product/20531?artNr=DLE-SA-0003" TargetMode="External"/><Relationship Id="rId6" Type="http://schemas.openxmlformats.org/officeDocument/2006/relationships/hyperlink" Target="https://www.igus.com/product/20531?artNr=DLE-SA-0004" TargetMode="External"/><Relationship Id="rId29" Type="http://schemas.openxmlformats.org/officeDocument/2006/relationships/hyperlink" Target="https://www.sick.com/es/es/productos/sensores-de-proceso/sensores-de-temperaturas/c/g173252" TargetMode="External"/><Relationship Id="rId7" Type="http://schemas.openxmlformats.org/officeDocument/2006/relationships/hyperlink" Target="https://www.igus.com/product/20531?artNr=DLE-SA-0004" TargetMode="External"/><Relationship Id="rId8" Type="http://schemas.openxmlformats.org/officeDocument/2006/relationships/hyperlink" Target="https://www.igus.com/product/D7_control" TargetMode="External"/><Relationship Id="rId31" Type="http://schemas.openxmlformats.org/officeDocument/2006/relationships/hyperlink" Target="https://www.aciem.org/Afiliados/Publicaciones/MANUAL_TARIFAS_2015.pdf?utm_source=chatgpt.com" TargetMode="External"/><Relationship Id="rId30" Type="http://schemas.openxmlformats.org/officeDocument/2006/relationships/hyperlink" Target="https://www.ani.gov.co/sites/default/files/gcop-m-001_anexo_manual_de_contratacion_-_tabla_honorarios_2026.pdf" TargetMode="External"/><Relationship Id="rId11" Type="http://schemas.openxmlformats.org/officeDocument/2006/relationships/hyperlink" Target="https://www.acerlamayr.co/empresas-de-metalmecanica-especializadas-en-laminas-de-acero-inoxidable-en-bogota-colombia/" TargetMode="External"/><Relationship Id="rId33" Type="http://schemas.openxmlformats.org/officeDocument/2006/relationships/hyperlink" Target="https://www.aciem.org/Afiliados/Publicaciones/MANUAL_TARIFAS_2015.pdf?utm_source=chatgpt.com" TargetMode="External"/><Relationship Id="rId10" Type="http://schemas.openxmlformats.org/officeDocument/2006/relationships/hyperlink" Target="https://www.acerlamayr.co/empresas-de-metalmecanica-especializadas-en-laminas-de-acero-inoxidable-en-bogota-colombia/" TargetMode="External"/><Relationship Id="rId32" Type="http://schemas.openxmlformats.org/officeDocument/2006/relationships/hyperlink" Target="https://www.ani.gov.co/sites/default/files/gcop-m-001_anexo_manual_de_contratacion_-_tabla_honorarios_2026.pdf" TargetMode="External"/><Relationship Id="rId13" Type="http://schemas.openxmlformats.org/officeDocument/2006/relationships/hyperlink" Target="https://www.mercadolibre.com.co/5x-repuesto-teflon-selladora-resistencia-termica-40cm/up/MCOU2488794755" TargetMode="External"/><Relationship Id="rId12" Type="http://schemas.openxmlformats.org/officeDocument/2006/relationships/hyperlink" Target="https://www.igus.com/robot-components/robotics-gripper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spanish.alibaba.com/product-detail/SYZG-Bag-Making-Machine-Heat-Sealing-1601799793108.html" TargetMode="External"/><Relationship Id="rId14" Type="http://schemas.openxmlformats.org/officeDocument/2006/relationships/hyperlink" Target="https://www.acerlamayr.co/empresas-de-metalmecanica-especializadas-en-laminas-de-acero-inoxidable-en-bogota-colombia/" TargetMode="External"/><Relationship Id="rId17" Type="http://schemas.openxmlformats.org/officeDocument/2006/relationships/hyperlink" Target="https://www.acerlamayr.co/empresas-de-metalmecanica-especializadas-en-laminas-de-acero-inoxidable-en-bogota-colombia/" TargetMode="External"/><Relationship Id="rId16" Type="http://schemas.openxmlformats.org/officeDocument/2006/relationships/hyperlink" Target="https://www.mercadolibre.com.co/rodamiento-lineal-lmf8uu-lm8-impresora-3d-cnc-8mm-lm8uu/up/MCOU2557433106" TargetMode="External"/><Relationship Id="rId19" Type="http://schemas.openxmlformats.org/officeDocument/2006/relationships/hyperlink" Target="https://www.acerlamayr.co/empresas-de-metalmecanica-especializadas-en-laminas-de-acero-inoxidable-en-bogota-colombia/" TargetMode="External"/><Relationship Id="rId18" Type="http://schemas.openxmlformats.org/officeDocument/2006/relationships/hyperlink" Target="https://www.acerlamayr.co/empresas-de-metalmecanica-especializadas-en-laminas-de-acero-inoxidable-en-bogota-colombia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spejandodudas.co/index.php/marcas/5123-quatro-celebra-tres-decadas-en-colombia-con-una-campana-sobre-el-sabor-real-de-crecer" TargetMode="External"/><Relationship Id="rId2" Type="http://schemas.openxmlformats.org/officeDocument/2006/relationships/hyperlink" Target="https://investors.coca-colafemsa.com/assets/files/reportes_resultados_esp/2026/2025-KOF-II-ESP.pdf" TargetMode="External"/><Relationship Id="rId3" Type="http://schemas.openxmlformats.org/officeDocument/2006/relationships/hyperlink" Target="https://investors.coca-colafemsa.com/assets/files/reportes_trimestrales_en/2022/4q-2022-bmv.pdf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H2" s="5"/>
    </row>
    <row r="3" ht="15.75" customHeight="1">
      <c r="A3" s="4"/>
      <c r="H3" s="5"/>
    </row>
    <row r="4" ht="15.75" customHeight="1">
      <c r="A4" s="4"/>
      <c r="H4" s="5"/>
      <c r="J4" s="6"/>
    </row>
    <row r="5" ht="15.75" customHeight="1">
      <c r="A5" s="4"/>
      <c r="H5" s="5"/>
    </row>
    <row r="6" ht="15.75" customHeight="1">
      <c r="A6" s="4"/>
      <c r="H6" s="5"/>
    </row>
    <row r="7" ht="15.75" customHeight="1">
      <c r="A7" s="4"/>
      <c r="H7" s="5"/>
    </row>
    <row r="8" ht="15.75" customHeight="1">
      <c r="A8" s="4"/>
      <c r="H8" s="5"/>
    </row>
    <row r="9" ht="15.75" customHeight="1">
      <c r="A9" s="4"/>
      <c r="H9" s="5"/>
    </row>
    <row r="10" ht="15.75" customHeight="1">
      <c r="A10" s="4"/>
      <c r="H10" s="5"/>
    </row>
    <row r="11" ht="15.75" customHeight="1">
      <c r="A11" s="4"/>
      <c r="H11" s="5"/>
    </row>
    <row r="12" ht="15.75" customHeight="1">
      <c r="A12" s="7"/>
      <c r="B12" s="8"/>
      <c r="C12" s="8"/>
      <c r="D12" s="8"/>
      <c r="E12" s="8"/>
      <c r="F12" s="8"/>
      <c r="G12" s="8"/>
      <c r="H12" s="9"/>
    </row>
    <row r="13" ht="15.75" customHeight="1">
      <c r="A13" s="10"/>
      <c r="B13" s="10"/>
      <c r="C13" s="10"/>
      <c r="D13" s="10"/>
      <c r="E13" s="10"/>
      <c r="F13" s="10"/>
      <c r="G13" s="10"/>
      <c r="H13" s="10"/>
    </row>
    <row r="14" ht="15.75" customHeight="1">
      <c r="A14" s="11" t="s">
        <v>1</v>
      </c>
      <c r="B14" s="2"/>
      <c r="C14" s="3"/>
      <c r="D14" s="12"/>
      <c r="E14" s="12"/>
      <c r="F14" s="12"/>
      <c r="G14" s="10"/>
      <c r="H14" s="10"/>
    </row>
    <row r="15" ht="15.75" customHeight="1">
      <c r="A15" s="7"/>
      <c r="B15" s="8"/>
      <c r="C15" s="9"/>
      <c r="D15" s="12"/>
      <c r="E15" s="12"/>
      <c r="F15" s="12"/>
    </row>
    <row r="16" ht="15.75" customHeight="1">
      <c r="A16" s="13" t="s">
        <v>2</v>
      </c>
      <c r="B16" s="14"/>
      <c r="C16" s="15"/>
      <c r="D16" s="16" t="s">
        <v>3</v>
      </c>
      <c r="E16" s="14"/>
      <c r="F16" s="15"/>
    </row>
    <row r="17" ht="15.75" customHeight="1">
      <c r="A17" s="13" t="s">
        <v>4</v>
      </c>
      <c r="B17" s="14"/>
      <c r="C17" s="15"/>
      <c r="D17" s="16" t="s">
        <v>5</v>
      </c>
      <c r="E17" s="14"/>
      <c r="F17" s="15"/>
    </row>
    <row r="18" ht="15.75" customHeight="1">
      <c r="A18" s="13" t="s">
        <v>6</v>
      </c>
      <c r="B18" s="14"/>
      <c r="C18" s="15"/>
      <c r="D18" s="16" t="s">
        <v>7</v>
      </c>
      <c r="E18" s="14"/>
      <c r="F18" s="15"/>
    </row>
    <row r="19" ht="15.75" customHeight="1">
      <c r="A19" s="13" t="s">
        <v>8</v>
      </c>
      <c r="B19" s="14"/>
      <c r="C19" s="15"/>
      <c r="D19" s="16" t="s">
        <v>9</v>
      </c>
      <c r="E19" s="14"/>
      <c r="F19" s="15"/>
    </row>
    <row r="20" ht="15.75" customHeight="1">
      <c r="A20" s="13" t="s">
        <v>10</v>
      </c>
      <c r="B20" s="14"/>
      <c r="C20" s="15"/>
      <c r="D20" s="17" t="s">
        <v>11</v>
      </c>
      <c r="E20" s="14"/>
      <c r="F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:H12"/>
    <mergeCell ref="A14:C15"/>
    <mergeCell ref="A16:C16"/>
    <mergeCell ref="D16:F16"/>
    <mergeCell ref="A17:C17"/>
    <mergeCell ref="D17:F17"/>
    <mergeCell ref="D18:F18"/>
    <mergeCell ref="A30:G30"/>
    <mergeCell ref="A31:G31"/>
    <mergeCell ref="A18:C18"/>
    <mergeCell ref="A19:C19"/>
    <mergeCell ref="D19:F19"/>
    <mergeCell ref="A20:C20"/>
    <mergeCell ref="D20:F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1.5"/>
    <col customWidth="1" min="3" max="3" width="41.38"/>
    <col customWidth="1" min="4" max="4" width="42.13"/>
    <col customWidth="1" min="5" max="5" width="37.25"/>
    <col customWidth="1" min="6" max="6" width="33.5"/>
    <col customWidth="1" min="7" max="7" width="35.38"/>
    <col customWidth="1" min="8" max="8" width="20.75"/>
    <col customWidth="1" min="9" max="9" width="27.5"/>
    <col customWidth="1" min="10" max="10" width="48.38"/>
    <col customWidth="1" min="11" max="11" width="37.63"/>
    <col customWidth="1" min="12" max="12" width="28.75"/>
    <col customWidth="1" min="13" max="13" width="27.88"/>
    <col customWidth="1" min="14" max="14" width="26.0"/>
    <col customWidth="1" min="15" max="15" width="29.25"/>
    <col customWidth="1" min="16" max="16" width="71.5"/>
  </cols>
  <sheetData>
    <row r="1" ht="15.75" customHeight="1">
      <c r="B1" s="18" t="s">
        <v>12</v>
      </c>
      <c r="C1" s="2"/>
      <c r="D1" s="3"/>
      <c r="E1" s="19"/>
      <c r="F1" s="20"/>
      <c r="I1" s="21"/>
      <c r="J1" s="21"/>
      <c r="M1" s="21"/>
      <c r="N1" s="21"/>
      <c r="P1" s="21"/>
    </row>
    <row r="2" ht="15.75" customHeight="1">
      <c r="B2" s="7"/>
      <c r="C2" s="8"/>
      <c r="D2" s="9"/>
      <c r="E2" s="22"/>
      <c r="F2" s="20"/>
      <c r="I2" s="21"/>
      <c r="J2" s="21"/>
      <c r="M2" s="21"/>
      <c r="N2" s="21"/>
      <c r="P2" s="21"/>
    </row>
    <row r="3" ht="15.75" customHeight="1">
      <c r="B3" s="23"/>
      <c r="C3" s="24"/>
      <c r="F3" s="20"/>
      <c r="I3" s="21"/>
      <c r="J3" s="21"/>
      <c r="M3" s="21"/>
      <c r="N3" s="21"/>
      <c r="P3" s="21"/>
    </row>
    <row r="4" ht="15.75" customHeight="1">
      <c r="B4" s="25" t="s">
        <v>6</v>
      </c>
      <c r="C4" s="26" t="s">
        <v>7</v>
      </c>
      <c r="D4" s="15"/>
      <c r="F4" s="20"/>
      <c r="I4" s="21"/>
      <c r="J4" s="21"/>
      <c r="M4" s="21"/>
      <c r="N4" s="21"/>
      <c r="P4" s="21"/>
    </row>
    <row r="5" ht="15.75" customHeight="1">
      <c r="B5" s="25" t="s">
        <v>13</v>
      </c>
      <c r="C5" s="26" t="s">
        <v>5</v>
      </c>
      <c r="D5" s="15"/>
      <c r="F5" s="20"/>
      <c r="I5" s="21"/>
      <c r="J5" s="21"/>
      <c r="M5" s="21"/>
      <c r="N5" s="21"/>
      <c r="P5" s="21"/>
    </row>
    <row r="6" ht="15.75" customHeight="1">
      <c r="B6" s="25" t="s">
        <v>14</v>
      </c>
      <c r="C6" s="26" t="s">
        <v>15</v>
      </c>
      <c r="D6" s="27" t="s">
        <v>16</v>
      </c>
      <c r="F6" s="20"/>
      <c r="I6" s="21"/>
      <c r="J6" s="21"/>
      <c r="M6" s="21"/>
      <c r="N6" s="21"/>
      <c r="P6" s="21"/>
    </row>
    <row r="7" ht="15.75" customHeight="1">
      <c r="B7" s="25" t="s">
        <v>17</v>
      </c>
      <c r="C7" s="26" t="s">
        <v>18</v>
      </c>
      <c r="D7" s="15"/>
      <c r="F7" s="20"/>
      <c r="I7" s="21"/>
      <c r="J7" s="21"/>
      <c r="M7" s="21"/>
      <c r="N7" s="21"/>
      <c r="P7" s="21"/>
    </row>
    <row r="8" ht="15.75" customHeight="1">
      <c r="B8" s="25" t="s">
        <v>19</v>
      </c>
      <c r="C8" s="26" t="s">
        <v>20</v>
      </c>
      <c r="D8" s="15"/>
      <c r="F8" s="20"/>
      <c r="I8" s="21"/>
      <c r="J8" s="21"/>
      <c r="M8" s="21"/>
      <c r="N8" s="21"/>
      <c r="P8" s="21"/>
    </row>
    <row r="9" ht="15.75" customHeight="1">
      <c r="B9" s="25" t="s">
        <v>21</v>
      </c>
      <c r="C9" s="26" t="str">
        <f>G247</f>
        <v>16-24</v>
      </c>
      <c r="D9" s="15"/>
      <c r="F9" s="20"/>
      <c r="I9" s="21"/>
      <c r="J9" s="21"/>
      <c r="M9" s="21"/>
      <c r="N9" s="21"/>
      <c r="P9" s="21"/>
    </row>
    <row r="10" ht="15.75" customHeight="1">
      <c r="B10" s="28"/>
      <c r="C10" s="29"/>
      <c r="F10" s="20"/>
      <c r="I10" s="21"/>
      <c r="J10" s="21"/>
      <c r="M10" s="21"/>
      <c r="N10" s="21"/>
      <c r="P10" s="21"/>
    </row>
    <row r="11" ht="15.75" customHeight="1">
      <c r="C11" s="30"/>
      <c r="F11" s="20"/>
      <c r="I11" s="21"/>
      <c r="J11" s="21"/>
      <c r="M11" s="21"/>
      <c r="N11" s="21"/>
      <c r="P11" s="21"/>
    </row>
    <row r="12" ht="15.75" customHeight="1">
      <c r="C12" s="30"/>
      <c r="F12" s="20"/>
      <c r="I12" s="21"/>
      <c r="J12" s="21"/>
      <c r="M12" s="21"/>
      <c r="N12" s="21"/>
      <c r="P12" s="21"/>
    </row>
    <row r="13" ht="15.75" customHeight="1">
      <c r="C13" s="30"/>
      <c r="F13" s="20"/>
      <c r="I13" s="21"/>
      <c r="J13" s="21"/>
      <c r="M13" s="21"/>
      <c r="N13" s="21"/>
      <c r="P13" s="21"/>
    </row>
    <row r="14" ht="15.75" customHeight="1">
      <c r="C14" s="30"/>
      <c r="F14" s="20"/>
      <c r="I14" s="21"/>
      <c r="J14" s="21"/>
      <c r="M14" s="21"/>
      <c r="N14" s="21"/>
      <c r="P14" s="21"/>
    </row>
    <row r="15" ht="15.75" customHeight="1">
      <c r="C15" s="30"/>
      <c r="F15" s="20"/>
      <c r="I15" s="21"/>
      <c r="J15" s="31" t="s">
        <v>22</v>
      </c>
      <c r="K15" s="2"/>
      <c r="L15" s="2"/>
      <c r="M15" s="3"/>
      <c r="N15" s="21"/>
      <c r="P15" s="21"/>
    </row>
    <row r="16" ht="15.75" customHeight="1">
      <c r="B16" s="32" t="s">
        <v>23</v>
      </c>
      <c r="C16" s="33"/>
      <c r="D16" s="34"/>
      <c r="F16" s="20"/>
      <c r="I16" s="21"/>
      <c r="J16" s="4"/>
      <c r="M16" s="5"/>
      <c r="N16" s="21"/>
      <c r="P16" s="21"/>
    </row>
    <row r="17" ht="15.75" customHeight="1">
      <c r="B17" s="35"/>
      <c r="C17" s="30"/>
      <c r="F17" s="20"/>
      <c r="I17" s="21"/>
      <c r="J17" s="7"/>
      <c r="K17" s="8"/>
      <c r="L17" s="8"/>
      <c r="M17" s="9"/>
      <c r="N17" s="21"/>
      <c r="P17" s="21"/>
    </row>
    <row r="18" ht="15.75" customHeight="1">
      <c r="C18" s="30"/>
      <c r="E18" s="36"/>
      <c r="F18" s="20"/>
      <c r="I18" s="21"/>
      <c r="J18" s="21"/>
      <c r="M18" s="21"/>
      <c r="N18" s="21"/>
      <c r="P18" s="21"/>
    </row>
    <row r="19" ht="15.75" customHeight="1">
      <c r="C19" s="30"/>
      <c r="F19" s="20"/>
      <c r="I19" s="21"/>
      <c r="J19" s="21"/>
      <c r="M19" s="21"/>
      <c r="N19" s="21"/>
      <c r="P19" s="21"/>
    </row>
    <row r="20" ht="15.75" customHeight="1">
      <c r="C20" s="30"/>
      <c r="F20" s="20"/>
      <c r="I20" s="21"/>
      <c r="J20" s="21"/>
      <c r="M20" s="21"/>
      <c r="N20" s="21"/>
      <c r="P20" s="21"/>
    </row>
    <row r="21" ht="15.75" customHeight="1">
      <c r="B21" s="37" t="s">
        <v>24</v>
      </c>
      <c r="C21" s="38"/>
      <c r="F21" s="20"/>
      <c r="I21" s="21"/>
      <c r="J21" s="39" t="s">
        <v>25</v>
      </c>
      <c r="K21" s="3"/>
      <c r="M21" s="21"/>
      <c r="N21" s="21"/>
      <c r="P21" s="21"/>
    </row>
    <row r="22" ht="15.75" customHeight="1">
      <c r="B22" s="35"/>
      <c r="C22" s="38"/>
      <c r="F22" s="20"/>
      <c r="I22" s="21"/>
      <c r="J22" s="7"/>
      <c r="K22" s="9"/>
      <c r="M22" s="21"/>
      <c r="N22" s="21"/>
      <c r="P22" s="21"/>
    </row>
    <row r="23" ht="15.75" customHeight="1">
      <c r="C23" s="30"/>
      <c r="F23" s="20"/>
      <c r="I23" s="21"/>
      <c r="J23" s="21"/>
      <c r="M23" s="21"/>
      <c r="N23" s="21"/>
      <c r="P23" s="21"/>
    </row>
    <row r="24" ht="15.75" customHeight="1">
      <c r="B24" s="40" t="s">
        <v>26</v>
      </c>
      <c r="C24" s="41" t="s">
        <v>27</v>
      </c>
      <c r="D24" s="42" t="s">
        <v>28</v>
      </c>
      <c r="E24" s="43" t="s">
        <v>29</v>
      </c>
      <c r="F24" s="44" t="s">
        <v>30</v>
      </c>
      <c r="G24" s="42" t="s">
        <v>31</v>
      </c>
      <c r="I24" s="21"/>
      <c r="J24" s="45" t="s">
        <v>32</v>
      </c>
      <c r="K24" s="42" t="s">
        <v>33</v>
      </c>
      <c r="L24" s="43" t="s">
        <v>34</v>
      </c>
      <c r="M24" s="46" t="s">
        <v>35</v>
      </c>
      <c r="N24" s="46" t="s">
        <v>36</v>
      </c>
      <c r="P24" s="21"/>
    </row>
    <row r="25" ht="15.75" customHeight="1">
      <c r="B25" s="47" t="s">
        <v>37</v>
      </c>
      <c r="C25" s="48">
        <v>1.0</v>
      </c>
      <c r="D25" s="49">
        <v>3451000.0</v>
      </c>
      <c r="E25" s="49">
        <f t="shared" ref="E25:E46" si="1">D25/3250</f>
        <v>1061.846154</v>
      </c>
      <c r="F25" s="50" t="s">
        <v>38</v>
      </c>
      <c r="G25" s="49">
        <f t="shared" ref="G25:G46" si="2">D25*C25</f>
        <v>3451000</v>
      </c>
      <c r="I25" s="21"/>
      <c r="J25" s="51" t="s">
        <v>39</v>
      </c>
      <c r="K25" s="49">
        <v>2500000.0</v>
      </c>
      <c r="L25" s="49">
        <f t="shared" ref="L25:L32" si="3">K25/3250</f>
        <v>769.2307692</v>
      </c>
      <c r="M25" s="52" t="s">
        <v>5</v>
      </c>
      <c r="N25" s="52" t="s">
        <v>40</v>
      </c>
      <c r="P25" s="21"/>
    </row>
    <row r="26" ht="15.75" customHeight="1">
      <c r="B26" s="47" t="s">
        <v>41</v>
      </c>
      <c r="C26" s="48">
        <v>4.0</v>
      </c>
      <c r="D26" s="49">
        <v>169575.0</v>
      </c>
      <c r="E26" s="49">
        <f t="shared" si="1"/>
        <v>52.17692308</v>
      </c>
      <c r="F26" s="53" t="s">
        <v>42</v>
      </c>
      <c r="G26" s="49">
        <f t="shared" si="2"/>
        <v>678300</v>
      </c>
      <c r="I26" s="21"/>
      <c r="J26" s="51" t="s">
        <v>43</v>
      </c>
      <c r="K26" s="49">
        <v>800000.0</v>
      </c>
      <c r="L26" s="49">
        <f t="shared" si="3"/>
        <v>246.1538462</v>
      </c>
      <c r="M26" s="54" t="s">
        <v>44</v>
      </c>
      <c r="N26" s="54" t="s">
        <v>45</v>
      </c>
      <c r="P26" s="21"/>
    </row>
    <row r="27" ht="15.75" customHeight="1">
      <c r="B27" s="47" t="s">
        <v>46</v>
      </c>
      <c r="C27" s="48">
        <v>1.0</v>
      </c>
      <c r="D27" s="55">
        <v>2500170.96</v>
      </c>
      <c r="E27" s="49">
        <f t="shared" si="1"/>
        <v>769.2833723</v>
      </c>
      <c r="F27" s="50" t="s">
        <v>47</v>
      </c>
      <c r="G27" s="49">
        <f t="shared" si="2"/>
        <v>2500170.96</v>
      </c>
      <c r="H27" s="56"/>
      <c r="I27" s="57"/>
      <c r="J27" s="51" t="s">
        <v>48</v>
      </c>
      <c r="K27" s="55">
        <v>900000.0</v>
      </c>
      <c r="L27" s="49">
        <f t="shared" si="3"/>
        <v>276.9230769</v>
      </c>
      <c r="M27" s="52" t="s">
        <v>5</v>
      </c>
      <c r="N27" s="52" t="s">
        <v>49</v>
      </c>
      <c r="P27" s="21"/>
    </row>
    <row r="28" ht="15.75" customHeight="1">
      <c r="B28" s="47" t="s">
        <v>50</v>
      </c>
      <c r="C28" s="48">
        <v>1.0</v>
      </c>
      <c r="D28" s="55">
        <v>2500170.96</v>
      </c>
      <c r="E28" s="49">
        <f t="shared" si="1"/>
        <v>769.2833723</v>
      </c>
      <c r="F28" s="50" t="s">
        <v>51</v>
      </c>
      <c r="G28" s="49">
        <f t="shared" si="2"/>
        <v>2500170.96</v>
      </c>
      <c r="H28" s="56"/>
      <c r="I28" s="57"/>
      <c r="J28" s="51" t="s">
        <v>52</v>
      </c>
      <c r="K28" s="55">
        <v>250000.0</v>
      </c>
      <c r="L28" s="49">
        <f t="shared" si="3"/>
        <v>76.92307692</v>
      </c>
      <c r="M28" s="52" t="s">
        <v>53</v>
      </c>
      <c r="N28" s="52" t="s">
        <v>54</v>
      </c>
      <c r="P28" s="21"/>
    </row>
    <row r="29" ht="15.75" customHeight="1">
      <c r="B29" s="47" t="s">
        <v>55</v>
      </c>
      <c r="C29" s="48">
        <v>1.0</v>
      </c>
      <c r="D29" s="55">
        <v>2500170.96</v>
      </c>
      <c r="E29" s="49">
        <f t="shared" si="1"/>
        <v>769.2833723</v>
      </c>
      <c r="F29" s="50" t="s">
        <v>56</v>
      </c>
      <c r="G29" s="49">
        <f t="shared" si="2"/>
        <v>2500170.96</v>
      </c>
      <c r="H29" s="56"/>
      <c r="I29" s="57"/>
      <c r="J29" s="51" t="s">
        <v>57</v>
      </c>
      <c r="K29" s="55">
        <v>8000000.0</v>
      </c>
      <c r="L29" s="49">
        <f t="shared" si="3"/>
        <v>2461.538462</v>
      </c>
      <c r="M29" s="52" t="s">
        <v>58</v>
      </c>
      <c r="N29" s="52" t="s">
        <v>59</v>
      </c>
      <c r="P29" s="21"/>
    </row>
    <row r="30" ht="15.75" customHeight="1">
      <c r="B30" s="47" t="s">
        <v>60</v>
      </c>
      <c r="C30" s="52">
        <v>1.0</v>
      </c>
      <c r="D30" s="55">
        <v>2500170.96</v>
      </c>
      <c r="E30" s="49">
        <f t="shared" si="1"/>
        <v>769.2833723</v>
      </c>
      <c r="F30" s="50" t="s">
        <v>47</v>
      </c>
      <c r="G30" s="49">
        <f t="shared" si="2"/>
        <v>2500170.96</v>
      </c>
      <c r="H30" s="56"/>
      <c r="I30" s="57"/>
      <c r="J30" s="51" t="s">
        <v>61</v>
      </c>
      <c r="K30" s="49">
        <v>1500000.0</v>
      </c>
      <c r="L30" s="49">
        <f t="shared" si="3"/>
        <v>461.5384615</v>
      </c>
      <c r="M30" s="52" t="s">
        <v>62</v>
      </c>
      <c r="N30" s="52" t="s">
        <v>63</v>
      </c>
      <c r="P30" s="21"/>
    </row>
    <row r="31" ht="15.75" customHeight="1">
      <c r="B31" s="47" t="s">
        <v>64</v>
      </c>
      <c r="C31" s="52">
        <v>2.0</v>
      </c>
      <c r="D31" s="55">
        <v>2500170.96</v>
      </c>
      <c r="E31" s="49">
        <f t="shared" si="1"/>
        <v>769.2833723</v>
      </c>
      <c r="F31" s="50" t="s">
        <v>47</v>
      </c>
      <c r="G31" s="49">
        <f t="shared" si="2"/>
        <v>5000341.92</v>
      </c>
      <c r="H31" s="56"/>
      <c r="I31" s="57"/>
      <c r="J31" s="51" t="s">
        <v>65</v>
      </c>
      <c r="K31" s="49">
        <v>800000.0</v>
      </c>
      <c r="L31" s="49">
        <f t="shared" si="3"/>
        <v>246.1538462</v>
      </c>
      <c r="M31" s="54" t="s">
        <v>66</v>
      </c>
      <c r="N31" s="54" t="s">
        <v>67</v>
      </c>
      <c r="P31" s="21"/>
    </row>
    <row r="32" ht="15.75" customHeight="1">
      <c r="B32" s="47" t="s">
        <v>68</v>
      </c>
      <c r="C32" s="52">
        <v>6.0</v>
      </c>
      <c r="D32" s="55">
        <v>449646.46</v>
      </c>
      <c r="E32" s="49">
        <f t="shared" si="1"/>
        <v>138.3527569</v>
      </c>
      <c r="F32" s="50" t="s">
        <v>69</v>
      </c>
      <c r="G32" s="49">
        <f t="shared" si="2"/>
        <v>2697878.76</v>
      </c>
      <c r="H32" s="56"/>
      <c r="I32" s="57"/>
      <c r="J32" s="51" t="s">
        <v>70</v>
      </c>
      <c r="K32" s="55">
        <f>SUM(K25:K31)</f>
        <v>14750000</v>
      </c>
      <c r="L32" s="49">
        <f t="shared" si="3"/>
        <v>4538.461538</v>
      </c>
      <c r="M32" s="52"/>
      <c r="N32" s="52"/>
      <c r="P32" s="21"/>
    </row>
    <row r="33" ht="15.75" customHeight="1">
      <c r="B33" s="47" t="s">
        <v>71</v>
      </c>
      <c r="C33" s="52">
        <v>1.0</v>
      </c>
      <c r="D33" s="55">
        <v>119000.0</v>
      </c>
      <c r="E33" s="49">
        <f t="shared" si="1"/>
        <v>36.61538462</v>
      </c>
      <c r="F33" s="50" t="s">
        <v>72</v>
      </c>
      <c r="G33" s="49">
        <f t="shared" si="2"/>
        <v>119000</v>
      </c>
      <c r="H33" s="56"/>
      <c r="I33" s="57"/>
      <c r="J33" s="57"/>
      <c r="K33" s="56"/>
      <c r="L33" s="56"/>
      <c r="M33" s="57"/>
      <c r="N33" s="57"/>
      <c r="P33" s="21"/>
    </row>
    <row r="34" ht="15.75" customHeight="1">
      <c r="B34" s="47" t="s">
        <v>73</v>
      </c>
      <c r="C34" s="52">
        <v>1.0</v>
      </c>
      <c r="D34" s="55">
        <v>202300.0</v>
      </c>
      <c r="E34" s="49">
        <f t="shared" si="1"/>
        <v>62.24615385</v>
      </c>
      <c r="F34" s="50" t="s">
        <v>72</v>
      </c>
      <c r="G34" s="49">
        <f t="shared" si="2"/>
        <v>202300</v>
      </c>
      <c r="H34" s="56"/>
      <c r="I34" s="57"/>
      <c r="J34" s="57"/>
      <c r="K34" s="56"/>
      <c r="L34" s="56"/>
      <c r="M34" s="57"/>
      <c r="N34" s="57"/>
      <c r="P34" s="21"/>
    </row>
    <row r="35" ht="15.75" customHeight="1">
      <c r="B35" s="47" t="s">
        <v>74</v>
      </c>
      <c r="C35" s="52">
        <v>1.0</v>
      </c>
      <c r="D35" s="55">
        <v>178500.0</v>
      </c>
      <c r="E35" s="49">
        <f t="shared" si="1"/>
        <v>54.92307692</v>
      </c>
      <c r="F35" s="50" t="s">
        <v>72</v>
      </c>
      <c r="G35" s="49">
        <f t="shared" si="2"/>
        <v>178500</v>
      </c>
      <c r="H35" s="56"/>
      <c r="I35" s="57"/>
      <c r="J35" s="58" t="s">
        <v>75</v>
      </c>
      <c r="K35" s="3"/>
      <c r="L35" s="56"/>
      <c r="M35" s="57"/>
      <c r="N35" s="57"/>
      <c r="P35" s="21"/>
    </row>
    <row r="36" ht="15.75" customHeight="1">
      <c r="B36" s="47" t="s">
        <v>76</v>
      </c>
      <c r="C36" s="52">
        <v>1.0</v>
      </c>
      <c r="D36" s="55">
        <v>952000.0</v>
      </c>
      <c r="E36" s="49">
        <f t="shared" si="1"/>
        <v>292.9230769</v>
      </c>
      <c r="F36" s="50" t="s">
        <v>77</v>
      </c>
      <c r="G36" s="49">
        <f t="shared" si="2"/>
        <v>952000</v>
      </c>
      <c r="H36" s="56"/>
      <c r="I36" s="57"/>
      <c r="J36" s="7"/>
      <c r="K36" s="9"/>
      <c r="L36" s="56"/>
      <c r="M36" s="57"/>
      <c r="N36" s="57"/>
      <c r="P36" s="21"/>
    </row>
    <row r="37" ht="15.75" customHeight="1">
      <c r="B37" s="47" t="s">
        <v>78</v>
      </c>
      <c r="C37" s="52">
        <v>2.0</v>
      </c>
      <c r="D37" s="55">
        <v>57006.95</v>
      </c>
      <c r="E37" s="49">
        <f t="shared" si="1"/>
        <v>17.5406</v>
      </c>
      <c r="F37" s="50" t="s">
        <v>79</v>
      </c>
      <c r="G37" s="49">
        <f t="shared" si="2"/>
        <v>114013.9</v>
      </c>
      <c r="H37" s="56"/>
      <c r="I37" s="57"/>
      <c r="J37" s="57"/>
      <c r="K37" s="56"/>
      <c r="L37" s="56"/>
      <c r="M37" s="57"/>
      <c r="N37" s="57"/>
      <c r="P37" s="21"/>
    </row>
    <row r="38" ht="15.75" customHeight="1">
      <c r="B38" s="47" t="s">
        <v>80</v>
      </c>
      <c r="C38" s="52">
        <v>2.0</v>
      </c>
      <c r="D38" s="55">
        <v>154700.0</v>
      </c>
      <c r="E38" s="49">
        <f t="shared" si="1"/>
        <v>47.6</v>
      </c>
      <c r="F38" s="50" t="s">
        <v>72</v>
      </c>
      <c r="G38" s="49">
        <f t="shared" si="2"/>
        <v>309400</v>
      </c>
      <c r="H38" s="56"/>
      <c r="I38" s="57"/>
      <c r="J38" s="57"/>
      <c r="K38" s="56"/>
      <c r="L38" s="56"/>
      <c r="M38" s="57"/>
      <c r="N38" s="57"/>
      <c r="P38" s="21"/>
    </row>
    <row r="39" ht="15.75" customHeight="1">
      <c r="B39" s="47" t="s">
        <v>81</v>
      </c>
      <c r="C39" s="52">
        <v>2.0</v>
      </c>
      <c r="D39" s="55">
        <v>166600.0</v>
      </c>
      <c r="E39" s="49">
        <f t="shared" si="1"/>
        <v>51.26153846</v>
      </c>
      <c r="F39" s="50" t="s">
        <v>82</v>
      </c>
      <c r="G39" s="49">
        <f t="shared" si="2"/>
        <v>333200</v>
      </c>
      <c r="H39" s="56"/>
      <c r="I39" s="57"/>
      <c r="J39" s="45" t="s">
        <v>83</v>
      </c>
      <c r="K39" s="43" t="s">
        <v>84</v>
      </c>
      <c r="L39" s="43" t="s">
        <v>33</v>
      </c>
      <c r="M39" s="46" t="s">
        <v>34</v>
      </c>
      <c r="N39" s="46" t="s">
        <v>36</v>
      </c>
      <c r="P39" s="21"/>
    </row>
    <row r="40" ht="15.75" customHeight="1">
      <c r="B40" s="47" t="s">
        <v>85</v>
      </c>
      <c r="C40" s="52">
        <v>4.0</v>
      </c>
      <c r="D40" s="55">
        <v>29750.0</v>
      </c>
      <c r="E40" s="49">
        <f t="shared" si="1"/>
        <v>9.153846154</v>
      </c>
      <c r="F40" s="50" t="s">
        <v>86</v>
      </c>
      <c r="G40" s="49">
        <f t="shared" si="2"/>
        <v>119000</v>
      </c>
      <c r="H40" s="56"/>
      <c r="I40" s="57"/>
      <c r="J40" s="51" t="s">
        <v>87</v>
      </c>
      <c r="K40" s="59">
        <v>0.03</v>
      </c>
      <c r="L40" s="60">
        <f>K40*C252</f>
        <v>29020674.55</v>
      </c>
      <c r="M40" s="61">
        <f t="shared" ref="M40:M44" si="4">L40/3250</f>
        <v>8929.438324</v>
      </c>
      <c r="N40" s="61" t="s">
        <v>88</v>
      </c>
      <c r="P40" s="21"/>
    </row>
    <row r="41" ht="15.75" customHeight="1">
      <c r="B41" s="47" t="s">
        <v>89</v>
      </c>
      <c r="C41" s="52">
        <v>1.0</v>
      </c>
      <c r="D41" s="55">
        <v>71400.0</v>
      </c>
      <c r="E41" s="49">
        <f t="shared" si="1"/>
        <v>21.96923077</v>
      </c>
      <c r="F41" s="50" t="s">
        <v>72</v>
      </c>
      <c r="G41" s="49">
        <f t="shared" si="2"/>
        <v>71400</v>
      </c>
      <c r="H41" s="56"/>
      <c r="I41" s="57"/>
      <c r="J41" s="51" t="s">
        <v>90</v>
      </c>
      <c r="K41" s="59">
        <v>0.02</v>
      </c>
      <c r="L41" s="60">
        <f t="shared" ref="L41:L44" si="5">973305818.42*K41</f>
        <v>19466116.37</v>
      </c>
      <c r="M41" s="61">
        <f t="shared" si="4"/>
        <v>5989.574267</v>
      </c>
      <c r="N41" s="62" t="s">
        <v>91</v>
      </c>
      <c r="P41" s="21"/>
    </row>
    <row r="42" ht="15.75" customHeight="1">
      <c r="B42" s="47" t="s">
        <v>92</v>
      </c>
      <c r="C42" s="52">
        <v>6.0</v>
      </c>
      <c r="D42" s="55">
        <v>53550.0</v>
      </c>
      <c r="E42" s="49">
        <f t="shared" si="1"/>
        <v>16.47692308</v>
      </c>
      <c r="F42" s="50" t="s">
        <v>72</v>
      </c>
      <c r="G42" s="49">
        <f t="shared" si="2"/>
        <v>321300</v>
      </c>
      <c r="H42" s="56"/>
      <c r="I42" s="57"/>
      <c r="J42" s="51" t="s">
        <v>93</v>
      </c>
      <c r="K42" s="59">
        <v>0.01</v>
      </c>
      <c r="L42" s="60">
        <f t="shared" si="5"/>
        <v>9733058.184</v>
      </c>
      <c r="M42" s="61">
        <f t="shared" si="4"/>
        <v>2994.787134</v>
      </c>
      <c r="N42" s="61" t="s">
        <v>94</v>
      </c>
      <c r="P42" s="21"/>
    </row>
    <row r="43" ht="15.75" customHeight="1">
      <c r="B43" s="47" t="s">
        <v>95</v>
      </c>
      <c r="C43" s="52">
        <v>16.0</v>
      </c>
      <c r="D43" s="55">
        <v>31981.25</v>
      </c>
      <c r="E43" s="49">
        <f t="shared" si="1"/>
        <v>9.840384615</v>
      </c>
      <c r="F43" s="50" t="s">
        <v>72</v>
      </c>
      <c r="G43" s="49">
        <f t="shared" si="2"/>
        <v>511700</v>
      </c>
      <c r="H43" s="56"/>
      <c r="I43" s="57"/>
      <c r="J43" s="51" t="s">
        <v>96</v>
      </c>
      <c r="K43" s="59">
        <v>0.01</v>
      </c>
      <c r="L43" s="60">
        <f t="shared" si="5"/>
        <v>9733058.184</v>
      </c>
      <c r="M43" s="61">
        <f t="shared" si="4"/>
        <v>2994.787134</v>
      </c>
      <c r="N43" s="61" t="s">
        <v>97</v>
      </c>
      <c r="P43" s="21"/>
    </row>
    <row r="44" ht="15.75" customHeight="1">
      <c r="B44" s="47" t="s">
        <v>98</v>
      </c>
      <c r="C44" s="52">
        <v>1.0</v>
      </c>
      <c r="D44" s="55">
        <v>1.9873E7</v>
      </c>
      <c r="E44" s="49">
        <f t="shared" si="1"/>
        <v>6114.769231</v>
      </c>
      <c r="F44" s="50" t="s">
        <v>99</v>
      </c>
      <c r="G44" s="49">
        <f t="shared" si="2"/>
        <v>19873000</v>
      </c>
      <c r="H44" s="56"/>
      <c r="I44" s="57"/>
      <c r="J44" s="51" t="s">
        <v>100</v>
      </c>
      <c r="K44" s="59">
        <v>0.07</v>
      </c>
      <c r="L44" s="60">
        <f t="shared" si="5"/>
        <v>68131407.29</v>
      </c>
      <c r="M44" s="61">
        <f t="shared" si="4"/>
        <v>20963.50994</v>
      </c>
      <c r="N44" s="61"/>
      <c r="P44" s="21"/>
    </row>
    <row r="45" ht="15.75" customHeight="1">
      <c r="B45" s="47" t="s">
        <v>101</v>
      </c>
      <c r="C45" s="52">
        <v>1.0</v>
      </c>
      <c r="D45" s="55">
        <v>1654100.0</v>
      </c>
      <c r="E45" s="49">
        <f t="shared" si="1"/>
        <v>508.9538462</v>
      </c>
      <c r="F45" s="50" t="s">
        <v>72</v>
      </c>
      <c r="G45" s="49">
        <f t="shared" si="2"/>
        <v>1654100</v>
      </c>
      <c r="H45" s="56"/>
      <c r="I45" s="57"/>
      <c r="J45" s="57"/>
      <c r="K45" s="56"/>
      <c r="L45" s="56"/>
      <c r="M45" s="57"/>
      <c r="N45" s="57"/>
      <c r="P45" s="21"/>
    </row>
    <row r="46" ht="15.75" customHeight="1">
      <c r="B46" s="47" t="s">
        <v>102</v>
      </c>
      <c r="C46" s="52">
        <v>16.0</v>
      </c>
      <c r="D46" s="55">
        <v>31237.5</v>
      </c>
      <c r="E46" s="49">
        <f t="shared" si="1"/>
        <v>9.611538462</v>
      </c>
      <c r="F46" s="50" t="s">
        <v>72</v>
      </c>
      <c r="G46" s="49">
        <f t="shared" si="2"/>
        <v>499800</v>
      </c>
      <c r="H46" s="56"/>
      <c r="I46" s="57"/>
      <c r="J46" s="57"/>
      <c r="K46" s="56"/>
      <c r="L46" s="56"/>
      <c r="M46" s="57"/>
      <c r="N46" s="57"/>
      <c r="O46" s="56"/>
      <c r="P46" s="21"/>
    </row>
    <row r="47" ht="15.75" customHeight="1">
      <c r="B47" s="47" t="s">
        <v>103</v>
      </c>
      <c r="C47" s="52"/>
      <c r="D47" s="55"/>
      <c r="E47" s="55"/>
      <c r="F47" s="63"/>
      <c r="G47" s="55">
        <f>SUM(G25:G46)</f>
        <v>47086918.42</v>
      </c>
      <c r="H47" s="56"/>
      <c r="I47" s="57"/>
      <c r="J47" s="57"/>
      <c r="K47" s="56"/>
      <c r="L47" s="56"/>
      <c r="M47" s="57"/>
      <c r="N47" s="57"/>
      <c r="O47" s="56"/>
      <c r="P47" s="21"/>
    </row>
    <row r="48" ht="15.75" customHeight="1">
      <c r="C48" s="30"/>
      <c r="F48" s="20"/>
      <c r="H48" s="56"/>
      <c r="I48" s="57"/>
      <c r="J48" s="57"/>
      <c r="K48" s="56"/>
      <c r="L48" s="56"/>
      <c r="M48" s="57"/>
      <c r="N48" s="57"/>
      <c r="O48" s="56"/>
      <c r="P48" s="21"/>
    </row>
    <row r="49" ht="15.75" customHeight="1">
      <c r="C49" s="30"/>
      <c r="F49" s="20"/>
      <c r="H49" s="56"/>
      <c r="I49" s="57"/>
      <c r="J49" s="39" t="s">
        <v>104</v>
      </c>
      <c r="K49" s="3"/>
      <c r="M49" s="21"/>
      <c r="N49" s="21"/>
      <c r="O49" s="56"/>
      <c r="P49" s="21"/>
    </row>
    <row r="50" ht="15.75" customHeight="1">
      <c r="C50" s="30"/>
      <c r="F50" s="20"/>
      <c r="H50" s="56"/>
      <c r="I50" s="57"/>
      <c r="J50" s="7"/>
      <c r="K50" s="9"/>
      <c r="M50" s="21"/>
      <c r="N50" s="21"/>
      <c r="O50" s="56"/>
      <c r="P50" s="21"/>
    </row>
    <row r="51" ht="15.75" customHeight="1">
      <c r="C51" s="30"/>
      <c r="F51" s="20"/>
      <c r="G51" s="56"/>
      <c r="H51" s="56"/>
      <c r="I51" s="57"/>
      <c r="J51" s="21"/>
      <c r="M51" s="21"/>
      <c r="N51" s="21"/>
      <c r="O51" s="56"/>
      <c r="P51" s="21"/>
    </row>
    <row r="52" ht="15.75" customHeight="1">
      <c r="B52" s="37" t="s">
        <v>105</v>
      </c>
      <c r="C52" s="30"/>
      <c r="F52" s="20"/>
      <c r="G52" s="56"/>
      <c r="H52" s="56"/>
      <c r="I52" s="57"/>
      <c r="J52" s="45" t="s">
        <v>26</v>
      </c>
      <c r="K52" s="42" t="s">
        <v>106</v>
      </c>
      <c r="L52" s="43" t="s">
        <v>107</v>
      </c>
      <c r="M52" s="46" t="s">
        <v>108</v>
      </c>
      <c r="N52" s="46" t="s">
        <v>109</v>
      </c>
      <c r="O52" s="44" t="s">
        <v>110</v>
      </c>
      <c r="P52" s="46" t="s">
        <v>36</v>
      </c>
    </row>
    <row r="53" ht="15.75" customHeight="1">
      <c r="B53" s="35"/>
      <c r="C53" s="30"/>
      <c r="F53" s="20"/>
      <c r="G53" s="56"/>
      <c r="H53" s="56"/>
      <c r="I53" s="57"/>
      <c r="J53" s="51" t="s">
        <v>111</v>
      </c>
      <c r="K53" s="55" t="s">
        <v>112</v>
      </c>
      <c r="L53" s="64">
        <v>7.0</v>
      </c>
      <c r="M53" s="52">
        <v>1.0</v>
      </c>
      <c r="N53" s="61">
        <v>90000.0</v>
      </c>
      <c r="O53" s="60">
        <v>630000.0</v>
      </c>
      <c r="P53" s="52" t="s">
        <v>113</v>
      </c>
    </row>
    <row r="54" ht="15.75" customHeight="1">
      <c r="C54" s="30"/>
      <c r="F54" s="20"/>
      <c r="G54" s="56"/>
      <c r="H54" s="56"/>
      <c r="I54" s="57"/>
      <c r="J54" s="51" t="s">
        <v>114</v>
      </c>
      <c r="K54" s="55" t="s">
        <v>115</v>
      </c>
      <c r="L54" s="64" t="s">
        <v>116</v>
      </c>
      <c r="M54" s="52">
        <v>30.0</v>
      </c>
      <c r="N54" s="61">
        <v>70000.0</v>
      </c>
      <c r="O54" s="60">
        <v>2100000.0</v>
      </c>
      <c r="P54" s="52" t="s">
        <v>117</v>
      </c>
    </row>
    <row r="55" ht="15.75" customHeight="1">
      <c r="B55" s="40" t="s">
        <v>26</v>
      </c>
      <c r="C55" s="41" t="s">
        <v>27</v>
      </c>
      <c r="D55" s="42" t="s">
        <v>118</v>
      </c>
      <c r="E55" s="43" t="s">
        <v>29</v>
      </c>
      <c r="F55" s="44" t="s">
        <v>119</v>
      </c>
      <c r="G55" s="43" t="s">
        <v>31</v>
      </c>
      <c r="H55" s="56"/>
      <c r="I55" s="57"/>
      <c r="J55" s="51" t="s">
        <v>120</v>
      </c>
      <c r="K55" s="55" t="s">
        <v>121</v>
      </c>
      <c r="L55" s="64" t="s">
        <v>116</v>
      </c>
      <c r="M55" s="52">
        <v>4.0</v>
      </c>
      <c r="N55" s="61">
        <v>350000.0</v>
      </c>
      <c r="O55" s="60">
        <v>1400000.0</v>
      </c>
      <c r="P55" s="52" t="s">
        <v>122</v>
      </c>
    </row>
    <row r="56" ht="15.75" customHeight="1">
      <c r="B56" s="47" t="s">
        <v>123</v>
      </c>
      <c r="C56" s="48">
        <v>1.0</v>
      </c>
      <c r="D56" s="49">
        <v>2.8E8</v>
      </c>
      <c r="E56" s="49">
        <f t="shared" ref="E56:E92" si="6">D56/3250</f>
        <v>86153.84615</v>
      </c>
      <c r="F56" s="63" t="s">
        <v>124</v>
      </c>
      <c r="G56" s="49">
        <f t="shared" ref="G56:G92" si="7">D56*C56</f>
        <v>280000000</v>
      </c>
      <c r="H56" s="56"/>
      <c r="I56" s="57"/>
      <c r="J56" s="51" t="s">
        <v>125</v>
      </c>
      <c r="K56" s="55" t="s">
        <v>126</v>
      </c>
      <c r="L56" s="64">
        <v>7.0</v>
      </c>
      <c r="M56" s="52">
        <v>30.0</v>
      </c>
      <c r="N56" s="61">
        <v>50000.0</v>
      </c>
      <c r="O56" s="60">
        <v>1.05E7</v>
      </c>
      <c r="P56" s="52" t="s">
        <v>127</v>
      </c>
    </row>
    <row r="57" ht="15.75" customHeight="1">
      <c r="B57" s="47" t="s">
        <v>128</v>
      </c>
      <c r="C57" s="48">
        <v>1.0</v>
      </c>
      <c r="D57" s="49">
        <v>9175000.0</v>
      </c>
      <c r="E57" s="49">
        <f t="shared" si="6"/>
        <v>2823.076923</v>
      </c>
      <c r="F57" s="65" t="s">
        <v>129</v>
      </c>
      <c r="G57" s="49">
        <f t="shared" si="7"/>
        <v>9175000</v>
      </c>
      <c r="H57" s="56"/>
      <c r="I57" s="57"/>
      <c r="J57" s="51" t="s">
        <v>130</v>
      </c>
      <c r="K57" s="55"/>
      <c r="L57" s="55"/>
      <c r="M57" s="52"/>
      <c r="N57" s="52"/>
      <c r="O57" s="60">
        <v>1.463E7</v>
      </c>
      <c r="P57" s="52"/>
    </row>
    <row r="58" ht="15.75" customHeight="1">
      <c r="B58" s="47" t="s">
        <v>131</v>
      </c>
      <c r="C58" s="48">
        <v>1.0</v>
      </c>
      <c r="D58" s="55">
        <v>4910000.0</v>
      </c>
      <c r="E58" s="49">
        <f t="shared" si="6"/>
        <v>1510.769231</v>
      </c>
      <c r="F58" s="50" t="s">
        <v>72</v>
      </c>
      <c r="G58" s="49">
        <f t="shared" si="7"/>
        <v>4910000</v>
      </c>
      <c r="H58" s="56"/>
      <c r="I58" s="57"/>
      <c r="J58" s="21"/>
      <c r="M58" s="21"/>
      <c r="N58" s="57"/>
      <c r="P58" s="21"/>
    </row>
    <row r="59" ht="15.75" customHeight="1">
      <c r="B59" s="47" t="s">
        <v>132</v>
      </c>
      <c r="C59" s="48">
        <v>1.0</v>
      </c>
      <c r="D59" s="55">
        <v>1.8E7</v>
      </c>
      <c r="E59" s="49">
        <f t="shared" si="6"/>
        <v>5538.461538</v>
      </c>
      <c r="F59" s="50" t="s">
        <v>38</v>
      </c>
      <c r="G59" s="49">
        <f t="shared" si="7"/>
        <v>18000000</v>
      </c>
      <c r="H59" s="56"/>
      <c r="I59" s="57"/>
      <c r="J59" s="21"/>
      <c r="M59" s="21"/>
      <c r="N59" s="57"/>
      <c r="P59" s="21"/>
    </row>
    <row r="60" ht="15.75" customHeight="1">
      <c r="B60" s="47" t="s">
        <v>133</v>
      </c>
      <c r="C60" s="48">
        <v>1.0</v>
      </c>
      <c r="D60" s="55">
        <v>1.2E7</v>
      </c>
      <c r="E60" s="49">
        <f t="shared" si="6"/>
        <v>3692.307692</v>
      </c>
      <c r="F60" s="50" t="s">
        <v>38</v>
      </c>
      <c r="G60" s="49">
        <f t="shared" si="7"/>
        <v>12000000</v>
      </c>
      <c r="H60" s="56"/>
      <c r="I60" s="57"/>
      <c r="J60" s="21"/>
      <c r="M60" s="21"/>
      <c r="N60" s="21"/>
      <c r="P60" s="21"/>
    </row>
    <row r="61" ht="15.75" customHeight="1">
      <c r="B61" s="47" t="s">
        <v>134</v>
      </c>
      <c r="C61" s="52">
        <v>1.0</v>
      </c>
      <c r="D61" s="55">
        <v>4.0E7</v>
      </c>
      <c r="E61" s="49">
        <f t="shared" si="6"/>
        <v>12307.69231</v>
      </c>
      <c r="F61" s="63" t="s">
        <v>135</v>
      </c>
      <c r="G61" s="49">
        <f t="shared" si="7"/>
        <v>40000000</v>
      </c>
      <c r="H61" s="56"/>
      <c r="I61" s="57"/>
      <c r="J61" s="21"/>
      <c r="M61" s="21"/>
      <c r="N61" s="21"/>
      <c r="P61" s="21"/>
    </row>
    <row r="62" ht="15.75" customHeight="1">
      <c r="B62" s="47" t="s">
        <v>136</v>
      </c>
      <c r="C62" s="48">
        <v>1.0</v>
      </c>
      <c r="D62" s="49">
        <v>2.2E7</v>
      </c>
      <c r="E62" s="49">
        <f t="shared" si="6"/>
        <v>6769.230769</v>
      </c>
      <c r="F62" s="63" t="s">
        <v>137</v>
      </c>
      <c r="G62" s="49">
        <f t="shared" si="7"/>
        <v>22000000</v>
      </c>
      <c r="H62" s="56"/>
      <c r="I62" s="57"/>
      <c r="J62" s="39" t="s">
        <v>138</v>
      </c>
      <c r="K62" s="3"/>
      <c r="M62" s="21"/>
      <c r="N62" s="21"/>
      <c r="P62" s="21"/>
    </row>
    <row r="63" ht="15.75" customHeight="1">
      <c r="B63" s="47" t="s">
        <v>139</v>
      </c>
      <c r="C63" s="48">
        <v>1.0</v>
      </c>
      <c r="D63" s="55">
        <v>1.8E7</v>
      </c>
      <c r="E63" s="49">
        <f t="shared" si="6"/>
        <v>5538.461538</v>
      </c>
      <c r="F63" s="63" t="s">
        <v>140</v>
      </c>
      <c r="G63" s="49">
        <f t="shared" si="7"/>
        <v>18000000</v>
      </c>
      <c r="H63" s="56"/>
      <c r="I63" s="57"/>
      <c r="J63" s="7"/>
      <c r="K63" s="9"/>
      <c r="M63" s="21"/>
      <c r="N63" s="21"/>
      <c r="P63" s="21"/>
    </row>
    <row r="64" ht="15.75" customHeight="1">
      <c r="B64" s="47" t="s">
        <v>141</v>
      </c>
      <c r="C64" s="66">
        <v>2.0</v>
      </c>
      <c r="D64" s="67">
        <v>2800000.0</v>
      </c>
      <c r="E64" s="49">
        <f t="shared" si="6"/>
        <v>861.5384615</v>
      </c>
      <c r="F64" s="68" t="s">
        <v>142</v>
      </c>
      <c r="G64" s="49">
        <f t="shared" si="7"/>
        <v>5600000</v>
      </c>
      <c r="H64" s="56"/>
      <c r="I64" s="57"/>
      <c r="J64" s="21"/>
      <c r="M64" s="21"/>
      <c r="N64" s="21"/>
      <c r="P64" s="21"/>
    </row>
    <row r="65" ht="15.75" customHeight="1">
      <c r="B65" s="47" t="s">
        <v>143</v>
      </c>
      <c r="C65" s="66">
        <v>1.0</v>
      </c>
      <c r="D65" s="67">
        <v>6500000.0</v>
      </c>
      <c r="E65" s="49">
        <f t="shared" si="6"/>
        <v>2000</v>
      </c>
      <c r="F65" s="68" t="s">
        <v>144</v>
      </c>
      <c r="G65" s="49">
        <f t="shared" si="7"/>
        <v>6500000</v>
      </c>
      <c r="H65" s="56"/>
      <c r="I65" s="57"/>
      <c r="J65" s="45" t="s">
        <v>26</v>
      </c>
      <c r="K65" s="42" t="s">
        <v>33</v>
      </c>
      <c r="L65" s="43" t="s">
        <v>34</v>
      </c>
      <c r="M65" s="46" t="s">
        <v>36</v>
      </c>
      <c r="N65" s="21"/>
      <c r="P65" s="21"/>
    </row>
    <row r="66" ht="15.75" customHeight="1">
      <c r="B66" s="47" t="s">
        <v>145</v>
      </c>
      <c r="C66" s="66">
        <v>1.0</v>
      </c>
      <c r="D66" s="67">
        <v>8000000.0</v>
      </c>
      <c r="E66" s="49">
        <f t="shared" si="6"/>
        <v>2461.538462</v>
      </c>
      <c r="F66" s="68" t="s">
        <v>146</v>
      </c>
      <c r="G66" s="49">
        <f t="shared" si="7"/>
        <v>8000000</v>
      </c>
      <c r="H66" s="56"/>
      <c r="I66" s="57"/>
      <c r="J66" s="51" t="s">
        <v>147</v>
      </c>
      <c r="K66" s="49">
        <f>K32</f>
        <v>14750000</v>
      </c>
      <c r="L66" s="49">
        <f t="shared" ref="L66:L69" si="8">K66/3250</f>
        <v>4538.461538</v>
      </c>
      <c r="M66" s="52" t="s">
        <v>148</v>
      </c>
      <c r="N66" s="57"/>
      <c r="P66" s="21"/>
    </row>
    <row r="67" ht="15.75" customHeight="1">
      <c r="B67" s="47" t="s">
        <v>149</v>
      </c>
      <c r="C67" s="66">
        <v>1.0</v>
      </c>
      <c r="D67" s="67">
        <v>900000.0</v>
      </c>
      <c r="E67" s="49">
        <f t="shared" si="6"/>
        <v>276.9230769</v>
      </c>
      <c r="F67" s="68" t="s">
        <v>150</v>
      </c>
      <c r="G67" s="49">
        <f t="shared" si="7"/>
        <v>900000</v>
      </c>
      <c r="H67" s="56"/>
      <c r="I67" s="57"/>
      <c r="J67" s="51" t="s">
        <v>151</v>
      </c>
      <c r="K67" s="49">
        <f>L44</f>
        <v>68131407.29</v>
      </c>
      <c r="L67" s="49">
        <f t="shared" si="8"/>
        <v>20963.50994</v>
      </c>
      <c r="M67" s="54" t="s">
        <v>152</v>
      </c>
      <c r="N67" s="57"/>
      <c r="P67" s="21"/>
    </row>
    <row r="68" ht="15.75" customHeight="1">
      <c r="B68" s="47" t="s">
        <v>153</v>
      </c>
      <c r="C68" s="66">
        <v>2.0</v>
      </c>
      <c r="D68" s="67">
        <v>450000.0</v>
      </c>
      <c r="E68" s="49">
        <f t="shared" si="6"/>
        <v>138.4615385</v>
      </c>
      <c r="F68" s="68" t="s">
        <v>154</v>
      </c>
      <c r="G68" s="49">
        <f t="shared" si="7"/>
        <v>900000</v>
      </c>
      <c r="H68" s="56"/>
      <c r="I68" s="57"/>
      <c r="J68" s="51" t="s">
        <v>155</v>
      </c>
      <c r="K68" s="49">
        <f>O57</f>
        <v>14630000</v>
      </c>
      <c r="L68" s="49">
        <f t="shared" si="8"/>
        <v>4501.538462</v>
      </c>
      <c r="M68" s="54" t="s">
        <v>156</v>
      </c>
      <c r="N68" s="57"/>
      <c r="P68" s="21"/>
    </row>
    <row r="69" ht="15.75" customHeight="1">
      <c r="B69" s="47" t="s">
        <v>157</v>
      </c>
      <c r="C69" s="66">
        <v>1.0</v>
      </c>
      <c r="D69" s="67">
        <v>600000.0</v>
      </c>
      <c r="E69" s="49">
        <f t="shared" si="6"/>
        <v>184.6153846</v>
      </c>
      <c r="F69" s="68" t="s">
        <v>158</v>
      </c>
      <c r="G69" s="49">
        <f t="shared" si="7"/>
        <v>600000</v>
      </c>
      <c r="H69" s="56"/>
      <c r="I69" s="57"/>
      <c r="J69" s="51" t="s">
        <v>159</v>
      </c>
      <c r="K69" s="55">
        <f>K66+K67+K68</f>
        <v>97511407.29</v>
      </c>
      <c r="L69" s="49">
        <f t="shared" si="8"/>
        <v>30003.50994</v>
      </c>
      <c r="M69" s="52"/>
      <c r="N69" s="57"/>
      <c r="P69" s="21"/>
    </row>
    <row r="70" ht="15.75" customHeight="1">
      <c r="B70" s="47" t="s">
        <v>160</v>
      </c>
      <c r="C70" s="66">
        <v>1.0</v>
      </c>
      <c r="D70" s="67">
        <v>350000.0</v>
      </c>
      <c r="E70" s="49">
        <f t="shared" si="6"/>
        <v>107.6923077</v>
      </c>
      <c r="F70" s="68" t="s">
        <v>161</v>
      </c>
      <c r="G70" s="49">
        <f t="shared" si="7"/>
        <v>350000</v>
      </c>
      <c r="H70" s="56"/>
      <c r="I70" s="57"/>
      <c r="J70" s="57"/>
      <c r="K70" s="56"/>
      <c r="L70" s="56"/>
      <c r="M70" s="57"/>
      <c r="N70" s="57"/>
      <c r="P70" s="21"/>
    </row>
    <row r="71" ht="15.75" customHeight="1">
      <c r="B71" s="47" t="s">
        <v>162</v>
      </c>
      <c r="C71" s="66">
        <v>1.0</v>
      </c>
      <c r="D71" s="67">
        <v>3.2E7</v>
      </c>
      <c r="E71" s="49">
        <f t="shared" si="6"/>
        <v>9846.153846</v>
      </c>
      <c r="F71" s="68" t="s">
        <v>163</v>
      </c>
      <c r="G71" s="49">
        <f t="shared" si="7"/>
        <v>32000000</v>
      </c>
      <c r="H71" s="56"/>
      <c r="I71" s="57"/>
      <c r="J71" s="57"/>
      <c r="K71" s="56"/>
      <c r="L71" s="56"/>
      <c r="M71" s="57"/>
      <c r="N71" s="57"/>
      <c r="P71" s="21"/>
    </row>
    <row r="72" ht="15.75" customHeight="1">
      <c r="B72" s="47" t="s">
        <v>164</v>
      </c>
      <c r="C72" s="66">
        <v>1.0</v>
      </c>
      <c r="D72" s="67">
        <v>5500000.0</v>
      </c>
      <c r="E72" s="49">
        <f t="shared" si="6"/>
        <v>1692.307692</v>
      </c>
      <c r="F72" s="68" t="s">
        <v>165</v>
      </c>
      <c r="G72" s="49">
        <f t="shared" si="7"/>
        <v>5500000</v>
      </c>
      <c r="H72" s="56"/>
      <c r="I72" s="57"/>
      <c r="J72" s="21"/>
      <c r="M72" s="21"/>
      <c r="N72" s="57"/>
      <c r="P72" s="21"/>
    </row>
    <row r="73" ht="15.75" customHeight="1">
      <c r="B73" s="47" t="s">
        <v>166</v>
      </c>
      <c r="C73" s="66">
        <v>1.0</v>
      </c>
      <c r="D73" s="67">
        <v>3000000.0</v>
      </c>
      <c r="E73" s="49">
        <f t="shared" si="6"/>
        <v>923.0769231</v>
      </c>
      <c r="F73" s="68" t="s">
        <v>167</v>
      </c>
      <c r="G73" s="49">
        <f t="shared" si="7"/>
        <v>3000000</v>
      </c>
      <c r="H73" s="56"/>
      <c r="I73" s="57"/>
      <c r="J73" s="21"/>
      <c r="M73" s="21"/>
      <c r="N73" s="21"/>
      <c r="P73" s="21"/>
    </row>
    <row r="74" ht="15.75" customHeight="1">
      <c r="B74" s="47" t="s">
        <v>168</v>
      </c>
      <c r="C74" s="66">
        <v>1.0</v>
      </c>
      <c r="D74" s="67">
        <v>8000000.0</v>
      </c>
      <c r="E74" s="49">
        <f t="shared" si="6"/>
        <v>2461.538462</v>
      </c>
      <c r="F74" s="69" t="s">
        <v>72</v>
      </c>
      <c r="G74" s="49">
        <f t="shared" si="7"/>
        <v>8000000</v>
      </c>
      <c r="H74" s="56"/>
      <c r="I74" s="57"/>
      <c r="J74" s="21"/>
      <c r="M74" s="21"/>
      <c r="N74" s="21"/>
      <c r="P74" s="21"/>
    </row>
    <row r="75" ht="15.75" customHeight="1">
      <c r="B75" s="47" t="s">
        <v>169</v>
      </c>
      <c r="C75" s="66">
        <v>3.0</v>
      </c>
      <c r="D75" s="67">
        <v>243000.0</v>
      </c>
      <c r="E75" s="49">
        <f t="shared" si="6"/>
        <v>74.76923077</v>
      </c>
      <c r="F75" s="68" t="s">
        <v>170</v>
      </c>
      <c r="G75" s="49">
        <f t="shared" si="7"/>
        <v>729000</v>
      </c>
      <c r="H75" s="56"/>
      <c r="I75" s="57"/>
      <c r="J75" s="21"/>
      <c r="M75" s="21"/>
      <c r="N75" s="21"/>
      <c r="P75" s="21"/>
    </row>
    <row r="76" ht="16.5" customHeight="1">
      <c r="B76" s="47" t="s">
        <v>171</v>
      </c>
      <c r="C76" s="66">
        <v>12.0</v>
      </c>
      <c r="D76" s="67">
        <v>95000.0</v>
      </c>
      <c r="E76" s="49">
        <f t="shared" si="6"/>
        <v>29.23076923</v>
      </c>
      <c r="F76" s="68" t="s">
        <v>172</v>
      </c>
      <c r="G76" s="49">
        <f t="shared" si="7"/>
        <v>1140000</v>
      </c>
      <c r="H76" s="56"/>
      <c r="I76" s="21"/>
      <c r="J76" s="31" t="s">
        <v>173</v>
      </c>
      <c r="K76" s="2"/>
      <c r="L76" s="2"/>
      <c r="M76" s="3"/>
      <c r="N76" s="21"/>
      <c r="P76" s="21"/>
    </row>
    <row r="77" ht="15.75" customHeight="1">
      <c r="B77" s="47" t="s">
        <v>174</v>
      </c>
      <c r="C77" s="66">
        <v>12.0</v>
      </c>
      <c r="D77" s="67">
        <v>40000.0</v>
      </c>
      <c r="E77" s="49">
        <f t="shared" si="6"/>
        <v>12.30769231</v>
      </c>
      <c r="F77" s="68" t="s">
        <v>175</v>
      </c>
      <c r="G77" s="49">
        <f t="shared" si="7"/>
        <v>480000</v>
      </c>
      <c r="H77" s="56"/>
      <c r="I77" s="21"/>
      <c r="J77" s="7"/>
      <c r="K77" s="8"/>
      <c r="L77" s="8"/>
      <c r="M77" s="9"/>
      <c r="N77" s="21"/>
      <c r="P77" s="21"/>
    </row>
    <row r="78" ht="15.75" customHeight="1">
      <c r="B78" s="47" t="s">
        <v>176</v>
      </c>
      <c r="C78" s="66">
        <v>2.0</v>
      </c>
      <c r="D78" s="67">
        <v>950000.0</v>
      </c>
      <c r="E78" s="49">
        <f t="shared" si="6"/>
        <v>292.3076923</v>
      </c>
      <c r="F78" s="68" t="s">
        <v>177</v>
      </c>
      <c r="G78" s="49">
        <f t="shared" si="7"/>
        <v>1900000</v>
      </c>
      <c r="H78" s="56"/>
      <c r="I78" s="21"/>
      <c r="J78" s="21"/>
      <c r="M78" s="21"/>
      <c r="N78" s="21"/>
      <c r="P78" s="21"/>
    </row>
    <row r="79" ht="15.75" customHeight="1">
      <c r="B79" s="47" t="s">
        <v>178</v>
      </c>
      <c r="C79" s="66">
        <v>4.0</v>
      </c>
      <c r="D79" s="67">
        <v>150000.0</v>
      </c>
      <c r="E79" s="49">
        <f t="shared" si="6"/>
        <v>46.15384615</v>
      </c>
      <c r="F79" s="68" t="s">
        <v>179</v>
      </c>
      <c r="G79" s="49">
        <f t="shared" si="7"/>
        <v>600000</v>
      </c>
      <c r="H79" s="56"/>
      <c r="I79" s="21"/>
      <c r="J79" s="45" t="s">
        <v>26</v>
      </c>
      <c r="K79" s="42" t="s">
        <v>33</v>
      </c>
      <c r="L79" s="43" t="s">
        <v>34</v>
      </c>
      <c r="M79" s="46" t="s">
        <v>36</v>
      </c>
      <c r="N79" s="21"/>
      <c r="P79" s="21"/>
    </row>
    <row r="80" ht="15.75" customHeight="1">
      <c r="B80" s="47" t="s">
        <v>180</v>
      </c>
      <c r="C80" s="66">
        <v>1.0</v>
      </c>
      <c r="D80" s="67">
        <v>180000.0</v>
      </c>
      <c r="E80" s="49">
        <f t="shared" si="6"/>
        <v>55.38461538</v>
      </c>
      <c r="F80" s="68" t="s">
        <v>181</v>
      </c>
      <c r="G80" s="49">
        <f t="shared" si="7"/>
        <v>180000</v>
      </c>
      <c r="H80" s="56"/>
      <c r="I80" s="21"/>
      <c r="J80" s="51" t="s">
        <v>182</v>
      </c>
      <c r="K80" s="55">
        <f>C252</f>
        <v>967355818.4</v>
      </c>
      <c r="L80" s="49">
        <f t="shared" ref="L80:L84" si="9">K80/3250</f>
        <v>297647.9441</v>
      </c>
      <c r="M80" s="52" t="s">
        <v>183</v>
      </c>
      <c r="N80" s="21"/>
      <c r="P80" s="21"/>
    </row>
    <row r="81" ht="15.75" customHeight="1">
      <c r="B81" s="47" t="s">
        <v>184</v>
      </c>
      <c r="C81" s="66">
        <v>2.0</v>
      </c>
      <c r="D81" s="67">
        <v>160000.0</v>
      </c>
      <c r="E81" s="49">
        <f t="shared" si="6"/>
        <v>49.23076923</v>
      </c>
      <c r="F81" s="68" t="s">
        <v>181</v>
      </c>
      <c r="G81" s="49">
        <f t="shared" si="7"/>
        <v>320000</v>
      </c>
      <c r="H81" s="56"/>
      <c r="I81" s="21"/>
      <c r="J81" s="51" t="s">
        <v>185</v>
      </c>
      <c r="K81" s="55">
        <f>K69</f>
        <v>97511407.29</v>
      </c>
      <c r="L81" s="49">
        <f t="shared" si="9"/>
        <v>30003.50994</v>
      </c>
      <c r="M81" s="52" t="s">
        <v>186</v>
      </c>
      <c r="N81" s="21"/>
      <c r="P81" s="21"/>
    </row>
    <row r="82" ht="15.75" customHeight="1">
      <c r="B82" s="47" t="s">
        <v>187</v>
      </c>
      <c r="C82" s="66">
        <v>2.0</v>
      </c>
      <c r="D82" s="67">
        <v>35000.0</v>
      </c>
      <c r="E82" s="49">
        <f t="shared" si="6"/>
        <v>10.76923077</v>
      </c>
      <c r="F82" s="68" t="s">
        <v>188</v>
      </c>
      <c r="G82" s="49">
        <f t="shared" si="7"/>
        <v>70000</v>
      </c>
      <c r="H82" s="56"/>
      <c r="I82" s="21"/>
      <c r="J82" s="51" t="s">
        <v>189</v>
      </c>
      <c r="K82" s="55">
        <f>K80+K81</f>
        <v>1064867226</v>
      </c>
      <c r="L82" s="49">
        <f t="shared" si="9"/>
        <v>327651.4541</v>
      </c>
      <c r="M82" s="52" t="s">
        <v>190</v>
      </c>
      <c r="N82" s="21"/>
      <c r="P82" s="21"/>
    </row>
    <row r="83" ht="15.75" customHeight="1">
      <c r="B83" s="47" t="s">
        <v>191</v>
      </c>
      <c r="C83" s="66">
        <v>4.0</v>
      </c>
      <c r="D83" s="67">
        <v>40000.0</v>
      </c>
      <c r="E83" s="49">
        <f t="shared" si="6"/>
        <v>12.30769231</v>
      </c>
      <c r="F83" s="68" t="s">
        <v>192</v>
      </c>
      <c r="G83" s="49">
        <f t="shared" si="7"/>
        <v>160000</v>
      </c>
      <c r="H83" s="56"/>
      <c r="I83" s="21"/>
      <c r="J83" s="51" t="s">
        <v>193</v>
      </c>
      <c r="K83" s="55">
        <f>K82*0.15</f>
        <v>159730083.9</v>
      </c>
      <c r="L83" s="49">
        <f t="shared" si="9"/>
        <v>49147.71811</v>
      </c>
      <c r="M83" s="52" t="s">
        <v>194</v>
      </c>
      <c r="N83" s="21"/>
      <c r="P83" s="21"/>
    </row>
    <row r="84" ht="15.75" customHeight="1">
      <c r="B84" s="47" t="s">
        <v>195</v>
      </c>
      <c r="C84" s="66">
        <v>8.0</v>
      </c>
      <c r="D84" s="67">
        <v>18000.0</v>
      </c>
      <c r="E84" s="49">
        <f t="shared" si="6"/>
        <v>5.538461538</v>
      </c>
      <c r="F84" s="68" t="s">
        <v>196</v>
      </c>
      <c r="G84" s="49">
        <f t="shared" si="7"/>
        <v>144000</v>
      </c>
      <c r="H84" s="56"/>
      <c r="I84" s="21"/>
      <c r="J84" s="51" t="s">
        <v>197</v>
      </c>
      <c r="K84" s="55">
        <f>K82+K83</f>
        <v>1224597310</v>
      </c>
      <c r="L84" s="49">
        <f t="shared" si="9"/>
        <v>376799.1722</v>
      </c>
      <c r="M84" s="52" t="s">
        <v>198</v>
      </c>
      <c r="N84" s="21"/>
      <c r="P84" s="21"/>
    </row>
    <row r="85" ht="15.75" customHeight="1">
      <c r="B85" s="47" t="s">
        <v>199</v>
      </c>
      <c r="C85" s="66">
        <v>2.0</v>
      </c>
      <c r="D85" s="67">
        <v>120000.0</v>
      </c>
      <c r="E85" s="49">
        <f t="shared" si="6"/>
        <v>36.92307692</v>
      </c>
      <c r="F85" s="68" t="s">
        <v>200</v>
      </c>
      <c r="G85" s="49">
        <f t="shared" si="7"/>
        <v>240000</v>
      </c>
      <c r="H85" s="56"/>
      <c r="I85" s="21"/>
      <c r="J85" s="21"/>
      <c r="M85" s="21"/>
      <c r="N85" s="21"/>
      <c r="P85" s="21"/>
    </row>
    <row r="86" ht="15.75" customHeight="1">
      <c r="B86" s="47" t="s">
        <v>201</v>
      </c>
      <c r="C86" s="66">
        <v>2.0</v>
      </c>
      <c r="D86" s="67">
        <v>12000.0</v>
      </c>
      <c r="E86" s="49">
        <f t="shared" si="6"/>
        <v>3.692307692</v>
      </c>
      <c r="F86" s="68" t="s">
        <v>202</v>
      </c>
      <c r="G86" s="49">
        <f t="shared" si="7"/>
        <v>24000</v>
      </c>
      <c r="H86" s="56"/>
      <c r="I86" s="21"/>
      <c r="J86" s="21"/>
      <c r="K86" s="70">
        <v>1.22459730957E9</v>
      </c>
      <c r="M86" s="21"/>
      <c r="N86" s="21"/>
      <c r="P86" s="21"/>
    </row>
    <row r="87" ht="15.75" customHeight="1">
      <c r="B87" s="47" t="s">
        <v>203</v>
      </c>
      <c r="C87" s="66">
        <v>8.0</v>
      </c>
      <c r="D87" s="67">
        <v>8000.0</v>
      </c>
      <c r="E87" s="49">
        <f t="shared" si="6"/>
        <v>2.461538462</v>
      </c>
      <c r="F87" s="68" t="s">
        <v>204</v>
      </c>
      <c r="G87" s="49">
        <f t="shared" si="7"/>
        <v>64000</v>
      </c>
      <c r="H87" s="56"/>
      <c r="I87" s="57"/>
      <c r="J87" s="21"/>
      <c r="M87" s="21"/>
      <c r="N87" s="21"/>
      <c r="P87" s="21"/>
    </row>
    <row r="88" ht="15.75" customHeight="1">
      <c r="B88" s="47" t="s">
        <v>205</v>
      </c>
      <c r="C88" s="66">
        <v>30.0</v>
      </c>
      <c r="D88" s="67">
        <v>8000.0</v>
      </c>
      <c r="E88" s="49">
        <f t="shared" si="6"/>
        <v>2.461538462</v>
      </c>
      <c r="F88" s="68" t="s">
        <v>206</v>
      </c>
      <c r="G88" s="49">
        <f t="shared" si="7"/>
        <v>240000</v>
      </c>
      <c r="I88" s="21"/>
      <c r="J88" s="21"/>
      <c r="M88" s="21"/>
      <c r="N88" s="21"/>
      <c r="P88" s="21"/>
    </row>
    <row r="89" ht="15.75" customHeight="1">
      <c r="B89" s="47" t="s">
        <v>207</v>
      </c>
      <c r="C89" s="66">
        <v>2.0</v>
      </c>
      <c r="D89" s="67">
        <v>320000.0</v>
      </c>
      <c r="E89" s="49">
        <f t="shared" si="6"/>
        <v>98.46153846</v>
      </c>
      <c r="F89" s="68" t="s">
        <v>208</v>
      </c>
      <c r="G89" s="49">
        <f t="shared" si="7"/>
        <v>640000</v>
      </c>
      <c r="I89" s="21"/>
      <c r="J89" s="21"/>
      <c r="M89" s="21"/>
      <c r="N89" s="21"/>
      <c r="P89" s="21"/>
    </row>
    <row r="90" ht="15.75" customHeight="1">
      <c r="B90" s="47" t="s">
        <v>209</v>
      </c>
      <c r="C90" s="66">
        <v>1.0</v>
      </c>
      <c r="D90" s="67">
        <v>850000.0</v>
      </c>
      <c r="E90" s="49">
        <f t="shared" si="6"/>
        <v>261.5384615</v>
      </c>
      <c r="F90" s="68" t="s">
        <v>210</v>
      </c>
      <c r="G90" s="49">
        <f t="shared" si="7"/>
        <v>850000</v>
      </c>
      <c r="I90" s="21"/>
      <c r="J90" s="21"/>
      <c r="M90" s="21"/>
      <c r="N90" s="21"/>
      <c r="P90" s="21"/>
    </row>
    <row r="91" ht="15.75" customHeight="1">
      <c r="B91" s="47" t="s">
        <v>211</v>
      </c>
      <c r="C91" s="66">
        <v>1.0</v>
      </c>
      <c r="D91" s="67">
        <v>120000.0</v>
      </c>
      <c r="E91" s="49">
        <f t="shared" si="6"/>
        <v>36.92307692</v>
      </c>
      <c r="F91" s="68" t="s">
        <v>212</v>
      </c>
      <c r="G91" s="49">
        <f t="shared" si="7"/>
        <v>120000</v>
      </c>
      <c r="I91" s="21"/>
      <c r="J91" s="21"/>
      <c r="M91" s="21"/>
      <c r="N91" s="21"/>
      <c r="P91" s="21"/>
    </row>
    <row r="92" ht="15.75" customHeight="1">
      <c r="B92" s="47" t="s">
        <v>213</v>
      </c>
      <c r="C92" s="66">
        <v>1.0</v>
      </c>
      <c r="D92" s="67">
        <v>90000.0</v>
      </c>
      <c r="E92" s="49">
        <f t="shared" si="6"/>
        <v>27.69230769</v>
      </c>
      <c r="F92" s="68" t="s">
        <v>214</v>
      </c>
      <c r="G92" s="49">
        <f t="shared" si="7"/>
        <v>90000</v>
      </c>
      <c r="I92" s="21"/>
      <c r="J92" s="21"/>
      <c r="M92" s="21"/>
      <c r="N92" s="21"/>
      <c r="P92" s="21"/>
    </row>
    <row r="93" ht="15.75" customHeight="1">
      <c r="B93" s="47" t="s">
        <v>215</v>
      </c>
      <c r="C93" s="66"/>
      <c r="D93" s="67"/>
      <c r="E93" s="67"/>
      <c r="F93" s="68"/>
      <c r="G93" s="49">
        <f>SUM(G56:G92)</f>
        <v>483426000</v>
      </c>
      <c r="I93" s="21"/>
      <c r="J93" s="21"/>
      <c r="M93" s="21"/>
      <c r="N93" s="21"/>
      <c r="P93" s="21"/>
    </row>
    <row r="94" ht="15.75" customHeight="1">
      <c r="C94" s="30"/>
      <c r="F94" s="20"/>
      <c r="I94" s="21"/>
      <c r="J94" s="21"/>
      <c r="M94" s="21"/>
      <c r="N94" s="21"/>
      <c r="P94" s="21"/>
    </row>
    <row r="95" ht="15.75" customHeight="1">
      <c r="C95" s="30"/>
      <c r="F95" s="20"/>
      <c r="I95" s="21"/>
      <c r="J95" s="21"/>
      <c r="M95" s="21"/>
      <c r="N95" s="21"/>
      <c r="P95" s="21"/>
    </row>
    <row r="96" ht="15.75" customHeight="1">
      <c r="C96" s="30"/>
      <c r="F96" s="20"/>
      <c r="I96" s="21"/>
      <c r="J96" s="21"/>
      <c r="M96" s="21"/>
      <c r="N96" s="21"/>
      <c r="P96" s="21"/>
    </row>
    <row r="97" ht="24.75" customHeight="1">
      <c r="B97" s="37" t="s">
        <v>216</v>
      </c>
      <c r="C97" s="30"/>
      <c r="F97" s="20"/>
      <c r="I97" s="21"/>
      <c r="J97" s="21"/>
      <c r="M97" s="21"/>
      <c r="N97" s="21"/>
      <c r="P97" s="21"/>
    </row>
    <row r="98" ht="15.75" customHeight="1">
      <c r="B98" s="35"/>
      <c r="C98" s="30"/>
      <c r="F98" s="20"/>
      <c r="I98" s="21"/>
      <c r="J98" s="21"/>
      <c r="M98" s="21"/>
      <c r="N98" s="21"/>
      <c r="P98" s="21"/>
    </row>
    <row r="99" ht="15.75" customHeight="1">
      <c r="C99" s="30"/>
      <c r="F99" s="20"/>
      <c r="I99" s="21"/>
      <c r="J99" s="21"/>
      <c r="M99" s="21"/>
      <c r="N99" s="21"/>
      <c r="P99" s="21"/>
    </row>
    <row r="100" ht="15.75" customHeight="1">
      <c r="B100" s="40" t="s">
        <v>26</v>
      </c>
      <c r="C100" s="41" t="s">
        <v>27</v>
      </c>
      <c r="D100" s="42" t="s">
        <v>217</v>
      </c>
      <c r="E100" s="43" t="s">
        <v>218</v>
      </c>
      <c r="F100" s="46" t="s">
        <v>219</v>
      </c>
      <c r="I100" s="21"/>
      <c r="J100" s="21"/>
      <c r="M100" s="21"/>
      <c r="N100" s="21"/>
      <c r="P100" s="21"/>
    </row>
    <row r="101" ht="15.75" customHeight="1">
      <c r="B101" s="47" t="s">
        <v>220</v>
      </c>
      <c r="C101" s="48">
        <v>22.0</v>
      </c>
      <c r="D101" s="49">
        <v>1071000.0</v>
      </c>
      <c r="E101" s="71">
        <f t="shared" ref="E101:E103" si="10">D101*C101</f>
        <v>23562000</v>
      </c>
      <c r="F101" s="72" t="s">
        <v>221</v>
      </c>
      <c r="G101" s="56"/>
      <c r="I101" s="21"/>
      <c r="J101" s="21"/>
      <c r="M101" s="21"/>
      <c r="N101" s="21"/>
      <c r="P101" s="21"/>
    </row>
    <row r="102" ht="15.75" customHeight="1">
      <c r="B102" s="47" t="s">
        <v>222</v>
      </c>
      <c r="C102" s="66">
        <v>12.0</v>
      </c>
      <c r="D102" s="67">
        <v>350000.0</v>
      </c>
      <c r="E102" s="71">
        <f t="shared" si="10"/>
        <v>4200000</v>
      </c>
      <c r="F102" s="73" t="s">
        <v>223</v>
      </c>
      <c r="G102" s="56"/>
      <c r="I102" s="21"/>
      <c r="J102" s="21"/>
      <c r="M102" s="21"/>
      <c r="N102" s="21"/>
      <c r="P102" s="21"/>
    </row>
    <row r="103" ht="15.75" customHeight="1">
      <c r="B103" s="47" t="s">
        <v>224</v>
      </c>
      <c r="C103" s="48">
        <v>2.0</v>
      </c>
      <c r="D103" s="55">
        <v>500000.0</v>
      </c>
      <c r="E103" s="49">
        <f t="shared" si="10"/>
        <v>1000000</v>
      </c>
      <c r="F103" s="72" t="s">
        <v>225</v>
      </c>
      <c r="G103" s="56"/>
      <c r="I103" s="21"/>
      <c r="J103" s="21"/>
      <c r="M103" s="21"/>
      <c r="N103" s="21"/>
      <c r="P103" s="21"/>
    </row>
    <row r="104" ht="15.75" customHeight="1">
      <c r="B104" s="47" t="s">
        <v>226</v>
      </c>
      <c r="C104" s="48"/>
      <c r="D104" s="55"/>
      <c r="E104" s="49">
        <f>SUM(E101:E103)</f>
        <v>28762000</v>
      </c>
      <c r="F104" s="52"/>
      <c r="G104" s="56"/>
      <c r="I104" s="21"/>
      <c r="J104" s="21"/>
      <c r="M104" s="21"/>
      <c r="N104" s="21"/>
      <c r="P104" s="21"/>
    </row>
    <row r="105" ht="15.75" customHeight="1">
      <c r="C105" s="30"/>
      <c r="F105" s="20"/>
      <c r="G105" s="56"/>
      <c r="I105" s="21"/>
      <c r="J105" s="21"/>
      <c r="M105" s="21"/>
      <c r="N105" s="21"/>
      <c r="P105" s="21"/>
    </row>
    <row r="106" ht="15.75" customHeight="1">
      <c r="C106" s="30"/>
      <c r="F106" s="20"/>
      <c r="G106" s="56"/>
      <c r="I106" s="21"/>
      <c r="J106" s="21"/>
      <c r="M106" s="21"/>
      <c r="N106" s="21"/>
      <c r="P106" s="21"/>
    </row>
    <row r="107" ht="15.75" customHeight="1">
      <c r="C107" s="30"/>
      <c r="F107" s="20"/>
      <c r="G107" s="56"/>
      <c r="I107" s="21"/>
      <c r="J107" s="21"/>
      <c r="M107" s="21"/>
      <c r="N107" s="21"/>
      <c r="P107" s="21"/>
    </row>
    <row r="108" ht="15.75" customHeight="1">
      <c r="C108" s="30"/>
      <c r="F108" s="20"/>
      <c r="G108" s="56"/>
      <c r="I108" s="21"/>
      <c r="J108" s="21"/>
      <c r="M108" s="21"/>
      <c r="N108" s="21"/>
      <c r="P108" s="21"/>
    </row>
    <row r="109" ht="15.75" customHeight="1">
      <c r="C109" s="30"/>
      <c r="F109" s="20"/>
      <c r="G109" s="56"/>
      <c r="I109" s="21"/>
      <c r="J109" s="21"/>
      <c r="M109" s="21"/>
      <c r="N109" s="21"/>
      <c r="P109" s="21"/>
    </row>
    <row r="110" ht="15.75" customHeight="1">
      <c r="B110" s="37" t="s">
        <v>227</v>
      </c>
      <c r="C110" s="30"/>
      <c r="F110" s="20"/>
      <c r="G110" s="56"/>
      <c r="I110" s="21"/>
      <c r="J110" s="21"/>
      <c r="M110" s="21"/>
      <c r="N110" s="21"/>
      <c r="P110" s="21"/>
    </row>
    <row r="111" ht="15.75" customHeight="1">
      <c r="B111" s="35"/>
      <c r="C111" s="30"/>
      <c r="F111" s="20"/>
      <c r="G111" s="56"/>
      <c r="I111" s="21"/>
      <c r="J111" s="21"/>
      <c r="M111" s="21"/>
      <c r="N111" s="21"/>
      <c r="P111" s="21"/>
    </row>
    <row r="112" ht="15.75" customHeight="1">
      <c r="C112" s="30"/>
      <c r="F112" s="20"/>
      <c r="G112" s="56"/>
      <c r="I112" s="21"/>
      <c r="J112" s="21"/>
      <c r="M112" s="21"/>
      <c r="N112" s="21"/>
      <c r="P112" s="21"/>
    </row>
    <row r="113" ht="15.75" customHeight="1">
      <c r="C113" s="30"/>
      <c r="F113" s="20"/>
      <c r="G113" s="56"/>
      <c r="I113" s="21"/>
      <c r="J113" s="21"/>
      <c r="M113" s="21"/>
      <c r="N113" s="21"/>
      <c r="P113" s="21"/>
    </row>
    <row r="114" ht="15.75" customHeight="1">
      <c r="B114" s="40" t="s">
        <v>26</v>
      </c>
      <c r="C114" s="41" t="s">
        <v>27</v>
      </c>
      <c r="D114" s="42" t="s">
        <v>228</v>
      </c>
      <c r="E114" s="42" t="s">
        <v>110</v>
      </c>
      <c r="F114" s="46" t="s">
        <v>219</v>
      </c>
      <c r="G114" s="57"/>
      <c r="I114" s="21"/>
      <c r="J114" s="21"/>
      <c r="M114" s="21"/>
      <c r="N114" s="21"/>
      <c r="P114" s="21"/>
    </row>
    <row r="115" ht="15.75" customHeight="1">
      <c r="B115" s="47" t="s">
        <v>229</v>
      </c>
      <c r="C115" s="48">
        <v>1.0</v>
      </c>
      <c r="D115" s="49">
        <v>1.785E7</v>
      </c>
      <c r="E115" s="67">
        <f t="shared" ref="E115:E145" si="11">D115*C115</f>
        <v>17850000</v>
      </c>
      <c r="F115" s="54" t="s">
        <v>230</v>
      </c>
      <c r="G115" s="57"/>
      <c r="I115" s="21"/>
      <c r="J115" s="21"/>
      <c r="M115" s="21"/>
      <c r="N115" s="21"/>
      <c r="P115" s="21"/>
    </row>
    <row r="116" ht="15.75" customHeight="1">
      <c r="B116" s="47" t="s">
        <v>231</v>
      </c>
      <c r="C116" s="48">
        <v>1.0</v>
      </c>
      <c r="D116" s="55">
        <v>4760000.0</v>
      </c>
      <c r="E116" s="67">
        <f t="shared" si="11"/>
        <v>4760000</v>
      </c>
      <c r="F116" s="52" t="s">
        <v>232</v>
      </c>
      <c r="G116" s="57"/>
      <c r="I116" s="21"/>
      <c r="J116" s="21"/>
      <c r="M116" s="21"/>
      <c r="N116" s="21"/>
      <c r="P116" s="21"/>
    </row>
    <row r="117" ht="15.75" customHeight="1">
      <c r="B117" s="47" t="s">
        <v>233</v>
      </c>
      <c r="C117" s="48">
        <v>1.0</v>
      </c>
      <c r="D117" s="55">
        <v>5950000.0</v>
      </c>
      <c r="E117" s="67">
        <f t="shared" si="11"/>
        <v>5950000</v>
      </c>
      <c r="F117" s="52" t="s">
        <v>234</v>
      </c>
      <c r="G117" s="57"/>
      <c r="I117" s="21"/>
      <c r="J117" s="21"/>
      <c r="M117" s="21"/>
      <c r="N117" s="21"/>
      <c r="P117" s="21"/>
    </row>
    <row r="118" ht="15.75" customHeight="1">
      <c r="B118" s="47" t="s">
        <v>235</v>
      </c>
      <c r="C118" s="48">
        <v>1.0</v>
      </c>
      <c r="D118" s="49">
        <v>2380000.0</v>
      </c>
      <c r="E118" s="67">
        <f t="shared" si="11"/>
        <v>2380000</v>
      </c>
      <c r="F118" s="54" t="s">
        <v>236</v>
      </c>
      <c r="G118" s="57"/>
      <c r="I118" s="21"/>
      <c r="J118" s="21"/>
      <c r="M118" s="21"/>
      <c r="N118" s="21"/>
      <c r="P118" s="21"/>
    </row>
    <row r="119" ht="15.75" customHeight="1">
      <c r="B119" s="47" t="s">
        <v>237</v>
      </c>
      <c r="C119" s="48">
        <v>1.0</v>
      </c>
      <c r="D119" s="55">
        <v>1190000.0</v>
      </c>
      <c r="E119" s="67">
        <f t="shared" si="11"/>
        <v>1190000</v>
      </c>
      <c r="F119" s="52" t="s">
        <v>238</v>
      </c>
      <c r="G119" s="57"/>
      <c r="I119" s="21"/>
      <c r="J119" s="21"/>
      <c r="M119" s="21"/>
      <c r="N119" s="21"/>
      <c r="P119" s="21"/>
    </row>
    <row r="120" ht="15.75" customHeight="1">
      <c r="B120" s="47" t="s">
        <v>239</v>
      </c>
      <c r="C120" s="48">
        <v>1.0</v>
      </c>
      <c r="D120" s="49">
        <v>1190000.0</v>
      </c>
      <c r="E120" s="67">
        <f t="shared" si="11"/>
        <v>1190000</v>
      </c>
      <c r="F120" s="54" t="s">
        <v>238</v>
      </c>
      <c r="G120" s="57"/>
      <c r="I120" s="21"/>
      <c r="J120" s="21"/>
      <c r="M120" s="21"/>
      <c r="N120" s="21"/>
      <c r="P120" s="21"/>
    </row>
    <row r="121" ht="15.75" customHeight="1">
      <c r="B121" s="47" t="s">
        <v>240</v>
      </c>
      <c r="C121" s="48">
        <v>1.0</v>
      </c>
      <c r="D121" s="55">
        <v>2380000.0</v>
      </c>
      <c r="E121" s="67">
        <f t="shared" si="11"/>
        <v>2380000</v>
      </c>
      <c r="F121" s="52" t="s">
        <v>241</v>
      </c>
      <c r="G121" s="57"/>
      <c r="I121" s="21"/>
      <c r="J121" s="21"/>
      <c r="M121" s="21"/>
      <c r="N121" s="21"/>
      <c r="P121" s="21"/>
    </row>
    <row r="122" ht="15.75" customHeight="1">
      <c r="B122" s="47" t="s">
        <v>242</v>
      </c>
      <c r="C122" s="48">
        <v>1.0</v>
      </c>
      <c r="D122" s="55">
        <v>1.428E7</v>
      </c>
      <c r="E122" s="67">
        <f t="shared" si="11"/>
        <v>14280000</v>
      </c>
      <c r="F122" s="52" t="s">
        <v>243</v>
      </c>
      <c r="G122" s="57"/>
      <c r="I122" s="21"/>
      <c r="J122" s="21"/>
      <c r="M122" s="21"/>
      <c r="N122" s="21"/>
      <c r="P122" s="21"/>
    </row>
    <row r="123" ht="15.75" customHeight="1">
      <c r="B123" s="47" t="s">
        <v>244</v>
      </c>
      <c r="C123" s="48">
        <v>1.0</v>
      </c>
      <c r="D123" s="55">
        <v>1428000.0</v>
      </c>
      <c r="E123" s="67">
        <f t="shared" si="11"/>
        <v>1428000</v>
      </c>
      <c r="F123" s="52" t="s">
        <v>245</v>
      </c>
      <c r="G123" s="57"/>
      <c r="I123" s="21"/>
      <c r="J123" s="21"/>
      <c r="M123" s="21"/>
      <c r="N123" s="21"/>
      <c r="P123" s="21"/>
    </row>
    <row r="124" ht="15.75" customHeight="1">
      <c r="B124" s="47" t="s">
        <v>246</v>
      </c>
      <c r="C124" s="48">
        <v>1.0</v>
      </c>
      <c r="D124" s="55">
        <v>714000.0</v>
      </c>
      <c r="E124" s="67">
        <f t="shared" si="11"/>
        <v>714000</v>
      </c>
      <c r="F124" s="52" t="s">
        <v>247</v>
      </c>
      <c r="G124" s="57"/>
      <c r="I124" s="21"/>
      <c r="J124" s="21"/>
      <c r="M124" s="21"/>
      <c r="N124" s="21"/>
      <c r="P124" s="21"/>
    </row>
    <row r="125" ht="15.75" customHeight="1">
      <c r="B125" s="47" t="s">
        <v>248</v>
      </c>
      <c r="C125" s="48">
        <v>1.0</v>
      </c>
      <c r="D125" s="55">
        <v>5950000.0</v>
      </c>
      <c r="E125" s="67">
        <f t="shared" si="11"/>
        <v>5950000</v>
      </c>
      <c r="F125" s="52" t="s">
        <v>249</v>
      </c>
      <c r="G125" s="57"/>
      <c r="I125" s="21"/>
      <c r="J125" s="21"/>
      <c r="M125" s="21"/>
      <c r="N125" s="21"/>
      <c r="P125" s="21"/>
    </row>
    <row r="126" ht="15.75" customHeight="1">
      <c r="B126" s="47" t="s">
        <v>250</v>
      </c>
      <c r="C126" s="48">
        <v>1.0</v>
      </c>
      <c r="D126" s="55">
        <v>3570000.0</v>
      </c>
      <c r="E126" s="67">
        <f t="shared" si="11"/>
        <v>3570000</v>
      </c>
      <c r="F126" s="52" t="s">
        <v>251</v>
      </c>
      <c r="G126" s="57"/>
      <c r="I126" s="21"/>
      <c r="J126" s="21"/>
      <c r="M126" s="21"/>
      <c r="N126" s="21"/>
      <c r="P126" s="21"/>
    </row>
    <row r="127" ht="15.75" customHeight="1">
      <c r="B127" s="47" t="s">
        <v>252</v>
      </c>
      <c r="C127" s="48">
        <v>1.0</v>
      </c>
      <c r="D127" s="55">
        <v>2380000.0</v>
      </c>
      <c r="E127" s="67">
        <f t="shared" si="11"/>
        <v>2380000</v>
      </c>
      <c r="F127" s="52" t="s">
        <v>253</v>
      </c>
      <c r="G127" s="57"/>
      <c r="I127" s="21"/>
      <c r="J127" s="21"/>
      <c r="M127" s="21"/>
      <c r="N127" s="21"/>
      <c r="P127" s="21"/>
    </row>
    <row r="128" ht="15.75" customHeight="1">
      <c r="B128" s="47" t="s">
        <v>254</v>
      </c>
      <c r="C128" s="48">
        <v>1.0</v>
      </c>
      <c r="D128" s="55">
        <v>2380000.0</v>
      </c>
      <c r="E128" s="67">
        <f t="shared" si="11"/>
        <v>2380000</v>
      </c>
      <c r="F128" s="52" t="s">
        <v>255</v>
      </c>
      <c r="G128" s="57"/>
      <c r="I128" s="21"/>
      <c r="J128" s="21"/>
      <c r="M128" s="21"/>
      <c r="N128" s="21"/>
      <c r="P128" s="21"/>
    </row>
    <row r="129" ht="15.75" customHeight="1">
      <c r="B129" s="47" t="s">
        <v>256</v>
      </c>
      <c r="C129" s="48">
        <v>2.0</v>
      </c>
      <c r="D129" s="55">
        <v>4760000.0</v>
      </c>
      <c r="E129" s="67">
        <f t="shared" si="11"/>
        <v>9520000</v>
      </c>
      <c r="F129" s="52" t="s">
        <v>257</v>
      </c>
      <c r="G129" s="57"/>
      <c r="I129" s="21"/>
      <c r="J129" s="21"/>
      <c r="M129" s="21"/>
      <c r="N129" s="21"/>
      <c r="P129" s="21"/>
    </row>
    <row r="130" ht="15.75" customHeight="1">
      <c r="B130" s="47" t="s">
        <v>258</v>
      </c>
      <c r="C130" s="48">
        <v>1.0</v>
      </c>
      <c r="D130" s="55">
        <v>2142000.0</v>
      </c>
      <c r="E130" s="67">
        <f t="shared" si="11"/>
        <v>2142000</v>
      </c>
      <c r="F130" s="52" t="s">
        <v>259</v>
      </c>
      <c r="G130" s="57"/>
      <c r="I130" s="21"/>
      <c r="J130" s="21"/>
      <c r="M130" s="21"/>
      <c r="N130" s="21"/>
      <c r="P130" s="21"/>
    </row>
    <row r="131" ht="15.75" customHeight="1">
      <c r="B131" s="47" t="s">
        <v>260</v>
      </c>
      <c r="C131" s="48">
        <v>1.0</v>
      </c>
      <c r="D131" s="55">
        <v>7140000.0</v>
      </c>
      <c r="E131" s="67">
        <f t="shared" si="11"/>
        <v>7140000</v>
      </c>
      <c r="F131" s="52" t="s">
        <v>261</v>
      </c>
      <c r="G131" s="57"/>
      <c r="I131" s="21"/>
      <c r="J131" s="21"/>
      <c r="M131" s="21"/>
      <c r="N131" s="21"/>
      <c r="P131" s="21"/>
    </row>
    <row r="132" ht="15.75" customHeight="1">
      <c r="B132" s="47" t="s">
        <v>153</v>
      </c>
      <c r="C132" s="48">
        <v>4.0</v>
      </c>
      <c r="D132" s="55">
        <v>416500.0</v>
      </c>
      <c r="E132" s="67">
        <f t="shared" si="11"/>
        <v>1666000</v>
      </c>
      <c r="F132" s="52" t="s">
        <v>262</v>
      </c>
      <c r="G132" s="57"/>
      <c r="I132" s="21"/>
      <c r="J132" s="21"/>
      <c r="M132" s="21"/>
      <c r="N132" s="21"/>
      <c r="P132" s="21"/>
    </row>
    <row r="133" ht="15.75" customHeight="1">
      <c r="B133" s="47" t="s">
        <v>263</v>
      </c>
      <c r="C133" s="48">
        <v>2.0</v>
      </c>
      <c r="D133" s="55">
        <v>600000.0</v>
      </c>
      <c r="E133" s="67">
        <f t="shared" si="11"/>
        <v>1200000</v>
      </c>
      <c r="F133" s="52" t="s">
        <v>264</v>
      </c>
      <c r="G133" s="57"/>
      <c r="I133" s="21"/>
      <c r="J133" s="21"/>
      <c r="M133" s="21"/>
      <c r="N133" s="21"/>
      <c r="P133" s="21"/>
    </row>
    <row r="134" ht="15.75" customHeight="1">
      <c r="B134" s="47" t="s">
        <v>160</v>
      </c>
      <c r="C134" s="48">
        <v>2.0</v>
      </c>
      <c r="D134" s="55">
        <v>350000.0</v>
      </c>
      <c r="E134" s="67">
        <f t="shared" si="11"/>
        <v>700000</v>
      </c>
      <c r="F134" s="52" t="s">
        <v>265</v>
      </c>
      <c r="G134" s="57"/>
      <c r="I134" s="21"/>
      <c r="J134" s="21"/>
      <c r="M134" s="21"/>
      <c r="N134" s="21"/>
      <c r="P134" s="21"/>
    </row>
    <row r="135" ht="15.75" customHeight="1">
      <c r="B135" s="47" t="s">
        <v>266</v>
      </c>
      <c r="C135" s="48">
        <v>1.0</v>
      </c>
      <c r="D135" s="55">
        <v>714000.0</v>
      </c>
      <c r="E135" s="67">
        <f t="shared" si="11"/>
        <v>714000</v>
      </c>
      <c r="F135" s="52" t="s">
        <v>267</v>
      </c>
      <c r="G135" s="57"/>
      <c r="I135" s="21"/>
      <c r="J135" s="21"/>
      <c r="M135" s="21"/>
      <c r="N135" s="21"/>
      <c r="P135" s="21"/>
    </row>
    <row r="136" ht="15.75" customHeight="1">
      <c r="B136" s="47" t="s">
        <v>268</v>
      </c>
      <c r="C136" s="48">
        <v>1.0</v>
      </c>
      <c r="D136" s="55">
        <v>2380000.0</v>
      </c>
      <c r="E136" s="67">
        <f t="shared" si="11"/>
        <v>2380000</v>
      </c>
      <c r="F136" s="52" t="s">
        <v>269</v>
      </c>
      <c r="G136" s="57"/>
      <c r="I136" s="21"/>
      <c r="J136" s="21"/>
      <c r="M136" s="21"/>
      <c r="N136" s="21"/>
      <c r="P136" s="21"/>
    </row>
    <row r="137" ht="15.75" customHeight="1">
      <c r="B137" s="47" t="s">
        <v>270</v>
      </c>
      <c r="C137" s="48">
        <v>1.0</v>
      </c>
      <c r="D137" s="55">
        <v>2142000.0</v>
      </c>
      <c r="E137" s="67">
        <f t="shared" si="11"/>
        <v>2142000</v>
      </c>
      <c r="F137" s="52" t="s">
        <v>271</v>
      </c>
      <c r="G137" s="57"/>
      <c r="I137" s="21"/>
      <c r="J137" s="21"/>
      <c r="M137" s="21"/>
      <c r="N137" s="21"/>
      <c r="P137" s="21"/>
    </row>
    <row r="138" ht="15.75" customHeight="1">
      <c r="B138" s="47" t="s">
        <v>272</v>
      </c>
      <c r="C138" s="48">
        <v>1.0</v>
      </c>
      <c r="D138" s="55">
        <v>8000000.0</v>
      </c>
      <c r="E138" s="67">
        <f t="shared" si="11"/>
        <v>8000000</v>
      </c>
      <c r="F138" s="52" t="s">
        <v>273</v>
      </c>
      <c r="G138" s="57"/>
      <c r="I138" s="21"/>
      <c r="J138" s="21"/>
      <c r="M138" s="21"/>
      <c r="N138" s="21"/>
      <c r="P138" s="21"/>
    </row>
    <row r="139" ht="15.75" customHeight="1">
      <c r="B139" s="47" t="s">
        <v>274</v>
      </c>
      <c r="C139" s="48">
        <v>1.0</v>
      </c>
      <c r="D139" s="55">
        <v>3000000.0</v>
      </c>
      <c r="E139" s="67">
        <f t="shared" si="11"/>
        <v>3000000</v>
      </c>
      <c r="F139" s="52" t="s">
        <v>275</v>
      </c>
      <c r="G139" s="57"/>
      <c r="I139" s="21"/>
      <c r="J139" s="21"/>
      <c r="M139" s="21"/>
      <c r="N139" s="21"/>
      <c r="P139" s="21"/>
    </row>
    <row r="140" ht="15.75" customHeight="1">
      <c r="B140" s="47" t="s">
        <v>276</v>
      </c>
      <c r="C140" s="48">
        <v>3.0</v>
      </c>
      <c r="D140" s="55">
        <v>1190000.0</v>
      </c>
      <c r="E140" s="67">
        <f t="shared" si="11"/>
        <v>3570000</v>
      </c>
      <c r="F140" s="52" t="s">
        <v>277</v>
      </c>
      <c r="G140" s="57"/>
      <c r="I140" s="21"/>
      <c r="J140" s="21"/>
      <c r="M140" s="21"/>
      <c r="N140" s="21"/>
      <c r="P140" s="21"/>
    </row>
    <row r="141" ht="15.75" customHeight="1">
      <c r="B141" s="47" t="s">
        <v>278</v>
      </c>
      <c r="C141" s="48">
        <v>1.0</v>
      </c>
      <c r="D141" s="55">
        <v>2380000.0</v>
      </c>
      <c r="E141" s="67">
        <f t="shared" si="11"/>
        <v>2380000</v>
      </c>
      <c r="F141" s="52" t="s">
        <v>279</v>
      </c>
      <c r="G141" s="57"/>
      <c r="I141" s="21"/>
      <c r="J141" s="21"/>
      <c r="M141" s="21"/>
      <c r="N141" s="21"/>
      <c r="P141" s="21"/>
    </row>
    <row r="142" ht="15.75" customHeight="1">
      <c r="B142" s="47" t="s">
        <v>280</v>
      </c>
      <c r="C142" s="48">
        <v>1.0</v>
      </c>
      <c r="D142" s="55">
        <v>1428000.0</v>
      </c>
      <c r="E142" s="67">
        <f t="shared" si="11"/>
        <v>1428000</v>
      </c>
      <c r="F142" s="52" t="s">
        <v>281</v>
      </c>
      <c r="G142" s="57"/>
      <c r="I142" s="21"/>
      <c r="J142" s="21"/>
      <c r="M142" s="21"/>
      <c r="N142" s="21"/>
      <c r="P142" s="21"/>
    </row>
    <row r="143" ht="15.75" customHeight="1">
      <c r="B143" s="47" t="s">
        <v>282</v>
      </c>
      <c r="C143" s="48">
        <v>1.0</v>
      </c>
      <c r="D143" s="55">
        <v>1190000.0</v>
      </c>
      <c r="E143" s="67">
        <f t="shared" si="11"/>
        <v>1190000</v>
      </c>
      <c r="F143" s="52" t="s">
        <v>283</v>
      </c>
      <c r="G143" s="57"/>
      <c r="I143" s="21"/>
      <c r="J143" s="21"/>
      <c r="M143" s="21"/>
      <c r="N143" s="21"/>
      <c r="P143" s="21"/>
    </row>
    <row r="144" ht="15.75" customHeight="1">
      <c r="B144" s="47" t="s">
        <v>284</v>
      </c>
      <c r="C144" s="48">
        <v>2.0</v>
      </c>
      <c r="D144" s="55">
        <v>714000.0</v>
      </c>
      <c r="E144" s="67">
        <f t="shared" si="11"/>
        <v>1428000</v>
      </c>
      <c r="F144" s="52" t="s">
        <v>285</v>
      </c>
      <c r="G144" s="57"/>
      <c r="I144" s="21"/>
      <c r="J144" s="21"/>
      <c r="M144" s="21"/>
      <c r="N144" s="21"/>
      <c r="P144" s="21"/>
    </row>
    <row r="145" ht="15.75" customHeight="1">
      <c r="B145" s="47" t="s">
        <v>286</v>
      </c>
      <c r="C145" s="48">
        <v>1.0</v>
      </c>
      <c r="D145" s="55">
        <v>5950000.0</v>
      </c>
      <c r="E145" s="67">
        <f t="shared" si="11"/>
        <v>5950000</v>
      </c>
      <c r="F145" s="52" t="s">
        <v>287</v>
      </c>
      <c r="G145" s="57"/>
      <c r="I145" s="21"/>
      <c r="J145" s="21"/>
      <c r="M145" s="21"/>
      <c r="N145" s="21"/>
      <c r="P145" s="21"/>
    </row>
    <row r="146" ht="15.75" customHeight="1">
      <c r="B146" s="47" t="s">
        <v>288</v>
      </c>
      <c r="C146" s="48"/>
      <c r="D146" s="55"/>
      <c r="E146" s="67">
        <f>SUM(E115:E145)</f>
        <v>120952000</v>
      </c>
      <c r="F146" s="52"/>
      <c r="G146" s="57"/>
      <c r="I146" s="21"/>
      <c r="J146" s="21"/>
      <c r="M146" s="21"/>
      <c r="N146" s="21"/>
      <c r="P146" s="21"/>
    </row>
    <row r="147" ht="15.75" customHeight="1">
      <c r="C147" s="30"/>
      <c r="F147" s="21"/>
      <c r="G147" s="30"/>
      <c r="I147" s="21"/>
      <c r="J147" s="21"/>
      <c r="M147" s="21"/>
      <c r="N147" s="21"/>
      <c r="P147" s="21"/>
    </row>
    <row r="148" ht="15.75" customHeight="1">
      <c r="C148" s="30"/>
      <c r="F148" s="20"/>
      <c r="I148" s="21"/>
      <c r="J148" s="21"/>
      <c r="M148" s="21"/>
      <c r="N148" s="21"/>
      <c r="P148" s="21"/>
    </row>
    <row r="149" ht="15.75" customHeight="1">
      <c r="C149" s="30"/>
      <c r="F149" s="20"/>
      <c r="I149" s="21"/>
      <c r="J149" s="21"/>
      <c r="M149" s="21"/>
      <c r="N149" s="21"/>
      <c r="P149" s="21"/>
    </row>
    <row r="150" ht="15.75" customHeight="1">
      <c r="C150" s="30"/>
      <c r="F150" s="20"/>
      <c r="I150" s="21"/>
      <c r="J150" s="21"/>
      <c r="M150" s="21"/>
      <c r="N150" s="21"/>
      <c r="P150" s="21"/>
    </row>
    <row r="151" ht="15.75" customHeight="1">
      <c r="C151" s="30"/>
      <c r="F151" s="20"/>
      <c r="I151" s="21"/>
      <c r="J151" s="21"/>
      <c r="M151" s="21"/>
      <c r="N151" s="21"/>
      <c r="P151" s="21"/>
    </row>
    <row r="152" ht="15.75" customHeight="1">
      <c r="B152" s="37" t="s">
        <v>289</v>
      </c>
      <c r="C152" s="30"/>
      <c r="F152" s="20"/>
      <c r="I152" s="21"/>
      <c r="J152" s="21"/>
      <c r="M152" s="21"/>
      <c r="N152" s="21"/>
      <c r="P152" s="21"/>
    </row>
    <row r="153" ht="15.75" customHeight="1">
      <c r="B153" s="35"/>
      <c r="C153" s="30"/>
      <c r="F153" s="20"/>
      <c r="I153" s="21"/>
      <c r="J153" s="21"/>
      <c r="M153" s="21"/>
      <c r="N153" s="21"/>
      <c r="P153" s="21"/>
    </row>
    <row r="154" ht="15.75" customHeight="1">
      <c r="C154" s="30"/>
      <c r="F154" s="20"/>
      <c r="I154" s="21"/>
      <c r="J154" s="21"/>
      <c r="M154" s="21"/>
      <c r="N154" s="21"/>
      <c r="P154" s="21"/>
    </row>
    <row r="155" ht="15.75" customHeight="1">
      <c r="B155" s="40" t="s">
        <v>26</v>
      </c>
      <c r="C155" s="41" t="s">
        <v>27</v>
      </c>
      <c r="D155" s="43" t="s">
        <v>218</v>
      </c>
      <c r="E155" s="43" t="s">
        <v>219</v>
      </c>
      <c r="F155" s="20"/>
      <c r="I155" s="21"/>
      <c r="J155" s="21"/>
      <c r="M155" s="21"/>
      <c r="N155" s="21"/>
      <c r="P155" s="21"/>
    </row>
    <row r="156" ht="15.75" customHeight="1">
      <c r="B156" s="47" t="s">
        <v>290</v>
      </c>
      <c r="C156" s="48">
        <v>1.0</v>
      </c>
      <c r="D156" s="49">
        <v>2142000.0</v>
      </c>
      <c r="E156" s="63" t="s">
        <v>291</v>
      </c>
      <c r="F156" s="20"/>
      <c r="I156" s="21"/>
      <c r="J156" s="21"/>
      <c r="M156" s="21"/>
      <c r="N156" s="21"/>
      <c r="P156" s="21"/>
    </row>
    <row r="157" ht="15.75" customHeight="1">
      <c r="B157" s="47" t="s">
        <v>292</v>
      </c>
      <c r="C157" s="48">
        <v>1.0</v>
      </c>
      <c r="D157" s="71">
        <v>4760000.0</v>
      </c>
      <c r="E157" s="65" t="s">
        <v>291</v>
      </c>
      <c r="F157" s="20"/>
      <c r="I157" s="21"/>
      <c r="J157" s="21"/>
      <c r="M157" s="21"/>
      <c r="N157" s="21"/>
      <c r="P157" s="21"/>
    </row>
    <row r="158" ht="15.75" customHeight="1">
      <c r="B158" s="47" t="s">
        <v>293</v>
      </c>
      <c r="C158" s="48">
        <v>1.0</v>
      </c>
      <c r="D158" s="49">
        <v>8200000.0</v>
      </c>
      <c r="E158" s="63" t="s">
        <v>294</v>
      </c>
      <c r="F158" s="20"/>
      <c r="I158" s="21"/>
      <c r="J158" s="21"/>
      <c r="M158" s="21"/>
      <c r="N158" s="21"/>
      <c r="P158" s="21"/>
    </row>
    <row r="159" ht="15.75" customHeight="1">
      <c r="B159" s="47" t="s">
        <v>295</v>
      </c>
      <c r="C159" s="48">
        <v>1.0</v>
      </c>
      <c r="D159" s="49">
        <v>5950000.0</v>
      </c>
      <c r="E159" s="63" t="s">
        <v>294</v>
      </c>
      <c r="F159" s="20"/>
      <c r="I159" s="21"/>
      <c r="J159" s="21"/>
      <c r="M159" s="21"/>
      <c r="N159" s="21"/>
      <c r="P159" s="21"/>
    </row>
    <row r="160" ht="15.75" customHeight="1">
      <c r="B160" s="47" t="s">
        <v>296</v>
      </c>
      <c r="C160" s="48">
        <v>1.0</v>
      </c>
      <c r="D160" s="49">
        <v>0.0</v>
      </c>
      <c r="E160" s="63" t="s">
        <v>297</v>
      </c>
      <c r="F160" s="20"/>
      <c r="I160" s="21"/>
      <c r="J160" s="21"/>
      <c r="M160" s="21"/>
      <c r="N160" s="21"/>
      <c r="P160" s="21"/>
    </row>
    <row r="161" ht="15.75" customHeight="1">
      <c r="B161" s="47" t="s">
        <v>298</v>
      </c>
      <c r="C161" s="52">
        <v>1.0</v>
      </c>
      <c r="D161" s="49">
        <v>0.0</v>
      </c>
      <c r="E161" s="63" t="s">
        <v>297</v>
      </c>
      <c r="F161" s="20"/>
      <c r="I161" s="21"/>
      <c r="J161" s="21"/>
      <c r="M161" s="21"/>
      <c r="N161" s="21"/>
      <c r="P161" s="21"/>
    </row>
    <row r="162" ht="15.75" customHeight="1">
      <c r="B162" s="47" t="s">
        <v>299</v>
      </c>
      <c r="C162" s="52">
        <v>1.0</v>
      </c>
      <c r="D162" s="49">
        <v>9520000.0</v>
      </c>
      <c r="E162" s="63" t="s">
        <v>300</v>
      </c>
      <c r="F162" s="20"/>
      <c r="I162" s="21"/>
      <c r="J162" s="21"/>
      <c r="M162" s="21"/>
      <c r="N162" s="21"/>
      <c r="P162" s="21"/>
    </row>
    <row r="163" ht="15.75" customHeight="1">
      <c r="B163" s="47" t="s">
        <v>301</v>
      </c>
      <c r="C163" s="48"/>
      <c r="D163" s="49">
        <f>SUM(D156:D162)</f>
        <v>30572000</v>
      </c>
      <c r="E163" s="63"/>
      <c r="F163" s="20"/>
      <c r="I163" s="21"/>
      <c r="J163" s="21"/>
      <c r="M163" s="21"/>
      <c r="N163" s="21"/>
      <c r="P163" s="21"/>
    </row>
    <row r="164" ht="15.75" customHeight="1">
      <c r="C164" s="30"/>
      <c r="F164" s="20"/>
      <c r="I164" s="21"/>
      <c r="J164" s="21"/>
      <c r="M164" s="21"/>
      <c r="N164" s="21"/>
      <c r="P164" s="21"/>
    </row>
    <row r="165" ht="15.75" customHeight="1">
      <c r="C165" s="30"/>
      <c r="F165" s="20"/>
      <c r="I165" s="21"/>
      <c r="J165" s="21"/>
      <c r="M165" s="21"/>
      <c r="N165" s="21"/>
      <c r="P165" s="21"/>
    </row>
    <row r="166" ht="15.75" customHeight="1">
      <c r="C166" s="30"/>
      <c r="F166" s="20"/>
      <c r="I166" s="21"/>
      <c r="J166" s="21"/>
      <c r="M166" s="21"/>
      <c r="N166" s="21"/>
      <c r="P166" s="21"/>
    </row>
    <row r="167" ht="15.75" customHeight="1">
      <c r="C167" s="30"/>
      <c r="F167" s="20"/>
      <c r="I167" s="21"/>
      <c r="J167" s="21"/>
      <c r="M167" s="21"/>
      <c r="N167" s="21"/>
      <c r="P167" s="21"/>
    </row>
    <row r="168" ht="15.75" customHeight="1">
      <c r="C168" s="30"/>
      <c r="F168" s="20"/>
      <c r="I168" s="21"/>
      <c r="J168" s="21"/>
      <c r="M168" s="21"/>
      <c r="N168" s="21"/>
      <c r="P168" s="21"/>
    </row>
    <row r="169" ht="15.75" customHeight="1">
      <c r="B169" s="37" t="s">
        <v>302</v>
      </c>
      <c r="C169" s="30"/>
      <c r="F169" s="20"/>
      <c r="I169" s="21"/>
      <c r="J169" s="21"/>
      <c r="M169" s="21"/>
      <c r="N169" s="21"/>
      <c r="P169" s="21"/>
    </row>
    <row r="170" ht="15.75" customHeight="1">
      <c r="B170" s="35"/>
      <c r="C170" s="30"/>
      <c r="F170" s="20"/>
      <c r="I170" s="21"/>
      <c r="J170" s="21"/>
      <c r="M170" s="21"/>
      <c r="N170" s="21"/>
      <c r="P170" s="21"/>
    </row>
    <row r="171" ht="15.75" customHeight="1">
      <c r="C171" s="30"/>
      <c r="F171" s="20"/>
      <c r="I171" s="21"/>
      <c r="J171" s="21"/>
      <c r="M171" s="21"/>
      <c r="N171" s="21"/>
      <c r="P171" s="21"/>
    </row>
    <row r="172" ht="15.75" customHeight="1">
      <c r="C172" s="30"/>
      <c r="F172" s="20"/>
      <c r="I172" s="21"/>
      <c r="J172" s="21"/>
      <c r="M172" s="21"/>
      <c r="N172" s="21"/>
      <c r="P172" s="21"/>
    </row>
    <row r="173" ht="15.75" customHeight="1">
      <c r="B173" s="40" t="s">
        <v>32</v>
      </c>
      <c r="C173" s="41" t="s">
        <v>303</v>
      </c>
      <c r="D173" s="42" t="s">
        <v>107</v>
      </c>
      <c r="E173" s="43" t="s">
        <v>304</v>
      </c>
      <c r="F173" s="44" t="s">
        <v>305</v>
      </c>
      <c r="G173" s="44" t="s">
        <v>306</v>
      </c>
      <c r="H173" s="44" t="s">
        <v>33</v>
      </c>
      <c r="I173" s="46" t="s">
        <v>307</v>
      </c>
      <c r="J173" s="46" t="s">
        <v>308</v>
      </c>
      <c r="M173" s="21"/>
      <c r="N173" s="21"/>
      <c r="P173" s="21"/>
    </row>
    <row r="174" ht="15.75" customHeight="1">
      <c r="B174" s="47" t="s">
        <v>309</v>
      </c>
      <c r="C174" s="48" t="s">
        <v>310</v>
      </c>
      <c r="D174" s="64">
        <v>2.0</v>
      </c>
      <c r="E174" s="64">
        <v>160.0</v>
      </c>
      <c r="F174" s="63">
        <v>320.0</v>
      </c>
      <c r="G174" s="60">
        <v>63750.0</v>
      </c>
      <c r="H174" s="60">
        <v>2.04E7</v>
      </c>
      <c r="I174" s="52" t="s">
        <v>311</v>
      </c>
      <c r="J174" s="52" t="s">
        <v>312</v>
      </c>
      <c r="M174" s="21"/>
      <c r="N174" s="21"/>
      <c r="P174" s="21"/>
    </row>
    <row r="175" ht="15.75" customHeight="1">
      <c r="B175" s="47" t="s">
        <v>313</v>
      </c>
      <c r="C175" s="48" t="s">
        <v>314</v>
      </c>
      <c r="D175" s="64">
        <v>2.0</v>
      </c>
      <c r="E175" s="64">
        <v>140.0</v>
      </c>
      <c r="F175" s="65">
        <v>280.0</v>
      </c>
      <c r="G175" s="74">
        <v>71718.75</v>
      </c>
      <c r="H175" s="74">
        <v>2.008125E7</v>
      </c>
      <c r="I175" s="54" t="s">
        <v>311</v>
      </c>
      <c r="J175" s="54" t="s">
        <v>315</v>
      </c>
      <c r="M175" s="21"/>
      <c r="N175" s="21"/>
      <c r="P175" s="21"/>
    </row>
    <row r="176" ht="15.75" customHeight="1">
      <c r="B176" s="47" t="s">
        <v>316</v>
      </c>
      <c r="C176" s="48" t="s">
        <v>317</v>
      </c>
      <c r="D176" s="75">
        <v>2.0</v>
      </c>
      <c r="E176" s="64">
        <v>120.0</v>
      </c>
      <c r="F176" s="63">
        <v>240.0</v>
      </c>
      <c r="G176" s="60">
        <v>71718.75</v>
      </c>
      <c r="H176" s="60">
        <v>1.72125E7</v>
      </c>
      <c r="I176" s="52" t="s">
        <v>311</v>
      </c>
      <c r="J176" s="52" t="s">
        <v>318</v>
      </c>
      <c r="M176" s="21"/>
      <c r="N176" s="21"/>
      <c r="P176" s="21"/>
    </row>
    <row r="177" ht="15.75" customHeight="1">
      <c r="B177" s="47" t="s">
        <v>319</v>
      </c>
      <c r="C177" s="48" t="s">
        <v>320</v>
      </c>
      <c r="D177" s="75">
        <v>2.0</v>
      </c>
      <c r="E177" s="64">
        <v>150.0</v>
      </c>
      <c r="F177" s="63">
        <v>300.0</v>
      </c>
      <c r="G177" s="60">
        <v>79687.5</v>
      </c>
      <c r="H177" s="60">
        <v>2.390625E7</v>
      </c>
      <c r="I177" s="52" t="s">
        <v>311</v>
      </c>
      <c r="J177" s="52" t="s">
        <v>321</v>
      </c>
      <c r="M177" s="21"/>
      <c r="N177" s="21"/>
      <c r="P177" s="21"/>
    </row>
    <row r="178" ht="15.75" customHeight="1">
      <c r="B178" s="47" t="s">
        <v>322</v>
      </c>
      <c r="C178" s="48" t="s">
        <v>323</v>
      </c>
      <c r="D178" s="75">
        <v>2.0</v>
      </c>
      <c r="E178" s="64">
        <v>130.0</v>
      </c>
      <c r="F178" s="63">
        <v>260.0</v>
      </c>
      <c r="G178" s="60">
        <v>89637.5</v>
      </c>
      <c r="H178" s="60">
        <v>2.330575E7</v>
      </c>
      <c r="I178" s="52" t="s">
        <v>324</v>
      </c>
      <c r="J178" s="52" t="s">
        <v>325</v>
      </c>
      <c r="M178" s="21"/>
      <c r="N178" s="21"/>
      <c r="P178" s="21"/>
    </row>
    <row r="179" ht="15.75" customHeight="1">
      <c r="B179" s="47" t="s">
        <v>326</v>
      </c>
      <c r="C179" s="52" t="s">
        <v>327</v>
      </c>
      <c r="D179" s="75">
        <v>2.0</v>
      </c>
      <c r="E179" s="64">
        <v>160.0</v>
      </c>
      <c r="F179" s="63">
        <v>320.0</v>
      </c>
      <c r="G179" s="60">
        <v>79687.5</v>
      </c>
      <c r="H179" s="60">
        <v>2.55E7</v>
      </c>
      <c r="I179" s="52" t="s">
        <v>311</v>
      </c>
      <c r="J179" s="52" t="s">
        <v>328</v>
      </c>
      <c r="M179" s="21"/>
      <c r="N179" s="21"/>
      <c r="P179" s="21"/>
    </row>
    <row r="180" ht="15.75" customHeight="1">
      <c r="B180" s="47" t="s">
        <v>329</v>
      </c>
      <c r="C180" s="52" t="s">
        <v>330</v>
      </c>
      <c r="D180" s="75">
        <v>2.0</v>
      </c>
      <c r="E180" s="64">
        <v>160.0</v>
      </c>
      <c r="F180" s="63">
        <v>320.0</v>
      </c>
      <c r="G180" s="60">
        <v>71718.75</v>
      </c>
      <c r="H180" s="60">
        <v>2.295E7</v>
      </c>
      <c r="I180" s="52" t="s">
        <v>331</v>
      </c>
      <c r="J180" s="52" t="s">
        <v>332</v>
      </c>
      <c r="M180" s="21"/>
      <c r="N180" s="21"/>
      <c r="P180" s="21"/>
    </row>
    <row r="181" ht="15.75" customHeight="1">
      <c r="B181" s="47" t="s">
        <v>333</v>
      </c>
      <c r="C181" s="48" t="s">
        <v>334</v>
      </c>
      <c r="D181" s="75">
        <v>1.0</v>
      </c>
      <c r="E181" s="64">
        <v>120.0</v>
      </c>
      <c r="F181" s="63">
        <v>120.0</v>
      </c>
      <c r="G181" s="60">
        <v>79687.5</v>
      </c>
      <c r="H181" s="60">
        <v>9562500.0</v>
      </c>
      <c r="I181" s="52" t="s">
        <v>311</v>
      </c>
      <c r="J181" s="52" t="s">
        <v>335</v>
      </c>
      <c r="M181" s="21"/>
      <c r="N181" s="21"/>
      <c r="P181" s="21"/>
    </row>
    <row r="182" ht="15.75" customHeight="1">
      <c r="B182" s="47" t="s">
        <v>336</v>
      </c>
      <c r="C182" s="48" t="s">
        <v>337</v>
      </c>
      <c r="D182" s="75">
        <v>1.0</v>
      </c>
      <c r="E182" s="64">
        <v>120.0</v>
      </c>
      <c r="F182" s="63">
        <v>120.0</v>
      </c>
      <c r="G182" s="60">
        <v>71718.75</v>
      </c>
      <c r="H182" s="60">
        <v>8606250.0</v>
      </c>
      <c r="I182" s="52" t="s">
        <v>311</v>
      </c>
      <c r="J182" s="52" t="s">
        <v>338</v>
      </c>
      <c r="M182" s="21"/>
      <c r="N182" s="21"/>
      <c r="P182" s="21"/>
    </row>
    <row r="183" ht="15.75" customHeight="1">
      <c r="B183" s="47" t="s">
        <v>339</v>
      </c>
      <c r="C183" s="48" t="s">
        <v>340</v>
      </c>
      <c r="D183" s="75">
        <v>1.0</v>
      </c>
      <c r="E183" s="64">
        <v>80.0</v>
      </c>
      <c r="F183" s="63">
        <v>80.0</v>
      </c>
      <c r="G183" s="60">
        <v>89637.5</v>
      </c>
      <c r="H183" s="60">
        <v>7171000.0</v>
      </c>
      <c r="I183" s="52" t="s">
        <v>341</v>
      </c>
      <c r="J183" s="52" t="s">
        <v>342</v>
      </c>
      <c r="M183" s="21"/>
      <c r="N183" s="21"/>
      <c r="P183" s="21"/>
    </row>
    <row r="184" ht="15.75" customHeight="1">
      <c r="B184" s="47" t="s">
        <v>343</v>
      </c>
      <c r="C184" s="48" t="s">
        <v>344</v>
      </c>
      <c r="D184" s="75">
        <v>1.0</v>
      </c>
      <c r="E184" s="64">
        <v>80.0</v>
      </c>
      <c r="F184" s="63">
        <v>80.0</v>
      </c>
      <c r="G184" s="60">
        <v>89637.5</v>
      </c>
      <c r="H184" s="60">
        <v>7171000.0</v>
      </c>
      <c r="I184" s="52" t="s">
        <v>341</v>
      </c>
      <c r="J184" s="52" t="s">
        <v>345</v>
      </c>
      <c r="M184" s="21"/>
      <c r="N184" s="21"/>
      <c r="P184" s="21"/>
    </row>
    <row r="185" ht="15.75" customHeight="1">
      <c r="B185" s="47" t="s">
        <v>346</v>
      </c>
      <c r="C185" s="48"/>
      <c r="D185" s="55"/>
      <c r="E185" s="49"/>
      <c r="F185" s="63">
        <v>2440.0</v>
      </c>
      <c r="G185" s="60"/>
      <c r="H185" s="60">
        <f>SUM(H174:H184)</f>
        <v>185866500</v>
      </c>
      <c r="I185" s="52"/>
      <c r="J185" s="52"/>
      <c r="M185" s="21"/>
      <c r="N185" s="21"/>
      <c r="P185" s="21"/>
    </row>
    <row r="186" ht="15.75" customHeight="1">
      <c r="C186" s="30"/>
      <c r="F186" s="20"/>
      <c r="I186" s="21"/>
      <c r="J186" s="21"/>
      <c r="M186" s="21"/>
      <c r="N186" s="21"/>
      <c r="P186" s="21"/>
    </row>
    <row r="187" ht="15.75" customHeight="1">
      <c r="C187" s="30"/>
      <c r="E187" s="47" t="s">
        <v>347</v>
      </c>
      <c r="F187" s="20"/>
      <c r="I187" s="21"/>
      <c r="J187" s="21"/>
      <c r="M187" s="21"/>
      <c r="N187" s="21"/>
      <c r="P187" s="21"/>
    </row>
    <row r="188" ht="15.75" customHeight="1">
      <c r="B188" s="47" t="s">
        <v>348</v>
      </c>
      <c r="C188" s="51" t="s">
        <v>349</v>
      </c>
      <c r="E188" s="76" t="s">
        <v>350</v>
      </c>
      <c r="F188" s="3"/>
      <c r="G188" s="77"/>
      <c r="I188" s="21"/>
      <c r="J188" s="21"/>
      <c r="M188" s="21"/>
      <c r="N188" s="21"/>
      <c r="P188" s="21"/>
    </row>
    <row r="189" ht="15.75" customHeight="1">
      <c r="B189" s="78" t="s">
        <v>351</v>
      </c>
      <c r="C189" s="79" t="s">
        <v>352</v>
      </c>
      <c r="E189" s="4"/>
      <c r="F189" s="5"/>
      <c r="G189" s="77"/>
      <c r="I189" s="21"/>
      <c r="J189" s="21"/>
      <c r="M189" s="21"/>
      <c r="N189" s="21"/>
      <c r="P189" s="21"/>
    </row>
    <row r="190" ht="15.75" customHeight="1">
      <c r="B190" s="80" t="s">
        <v>353</v>
      </c>
      <c r="C190" s="79" t="s">
        <v>354</v>
      </c>
      <c r="E190" s="7"/>
      <c r="F190" s="9"/>
      <c r="G190" s="77"/>
      <c r="I190" s="21"/>
      <c r="J190" s="21"/>
      <c r="M190" s="21"/>
      <c r="N190" s="21"/>
      <c r="P190" s="21"/>
    </row>
    <row r="191" ht="15.75" customHeight="1">
      <c r="C191" s="30"/>
      <c r="F191" s="20"/>
      <c r="I191" s="21"/>
      <c r="J191" s="21"/>
      <c r="M191" s="21"/>
      <c r="N191" s="21"/>
      <c r="P191" s="21"/>
    </row>
    <row r="192" ht="15.75" customHeight="1">
      <c r="C192" s="30"/>
      <c r="F192" s="20"/>
      <c r="I192" s="21"/>
      <c r="J192" s="21"/>
      <c r="M192" s="21"/>
      <c r="N192" s="21"/>
      <c r="P192" s="21"/>
    </row>
    <row r="193" ht="15.75" customHeight="1">
      <c r="C193" s="30"/>
      <c r="F193" s="20"/>
      <c r="I193" s="21"/>
      <c r="J193" s="21"/>
      <c r="M193" s="21"/>
      <c r="N193" s="21"/>
      <c r="P193" s="21"/>
    </row>
    <row r="194" ht="15.75" customHeight="1">
      <c r="C194" s="30"/>
      <c r="F194" s="20"/>
      <c r="I194" s="21"/>
      <c r="J194" s="21"/>
      <c r="M194" s="21"/>
      <c r="N194" s="21"/>
      <c r="P194" s="21"/>
    </row>
    <row r="195" ht="15.75" customHeight="1">
      <c r="C195" s="30"/>
      <c r="F195" s="20"/>
      <c r="I195" s="21"/>
      <c r="J195" s="21"/>
      <c r="K195" s="81"/>
      <c r="M195" s="21"/>
      <c r="N195" s="21"/>
      <c r="P195" s="21"/>
    </row>
    <row r="196" ht="15.75" customHeight="1">
      <c r="B196" s="37" t="s">
        <v>355</v>
      </c>
      <c r="C196" s="30"/>
      <c r="F196" s="20"/>
      <c r="I196" s="21"/>
      <c r="J196" s="21"/>
      <c r="K196" s="81"/>
      <c r="M196" s="21"/>
      <c r="N196" s="21"/>
      <c r="P196" s="21"/>
    </row>
    <row r="197" ht="15.75" customHeight="1">
      <c r="B197" s="35"/>
      <c r="C197" s="30"/>
      <c r="F197" s="20"/>
      <c r="I197" s="21"/>
      <c r="J197" s="21"/>
      <c r="K197" s="81"/>
      <c r="M197" s="21"/>
      <c r="N197" s="21"/>
      <c r="P197" s="21"/>
    </row>
    <row r="198" ht="15.75" customHeight="1">
      <c r="C198" s="30"/>
      <c r="F198" s="20"/>
      <c r="I198" s="21"/>
      <c r="J198" s="21"/>
      <c r="K198" s="81"/>
      <c r="M198" s="21"/>
      <c r="N198" s="21"/>
      <c r="P198" s="21"/>
    </row>
    <row r="199" ht="15.75" customHeight="1">
      <c r="C199" s="30"/>
      <c r="F199" s="20"/>
      <c r="I199" s="21"/>
      <c r="J199" s="21"/>
      <c r="K199" s="81"/>
      <c r="M199" s="21"/>
      <c r="N199" s="21"/>
      <c r="P199" s="21"/>
    </row>
    <row r="200" ht="15.75" customHeight="1">
      <c r="B200" s="40" t="s">
        <v>32</v>
      </c>
      <c r="C200" s="41" t="s">
        <v>303</v>
      </c>
      <c r="D200" s="42" t="s">
        <v>107</v>
      </c>
      <c r="E200" s="43" t="s">
        <v>304</v>
      </c>
      <c r="F200" s="44" t="s">
        <v>305</v>
      </c>
      <c r="G200" s="43" t="s">
        <v>306</v>
      </c>
      <c r="H200" s="43" t="s">
        <v>33</v>
      </c>
      <c r="I200" s="46" t="s">
        <v>36</v>
      </c>
      <c r="J200" s="21"/>
      <c r="K200" s="81"/>
      <c r="M200" s="21"/>
      <c r="N200" s="21"/>
      <c r="P200" s="21"/>
    </row>
    <row r="201" ht="15.75" customHeight="1">
      <c r="B201" s="47" t="s">
        <v>356</v>
      </c>
      <c r="C201" s="48" t="s">
        <v>357</v>
      </c>
      <c r="D201" s="64">
        <v>1.0</v>
      </c>
      <c r="E201" s="49">
        <v>64.0</v>
      </c>
      <c r="F201" s="63">
        <v>64.0</v>
      </c>
      <c r="G201" s="60">
        <v>71718.75</v>
      </c>
      <c r="H201" s="60">
        <v>4590000.0</v>
      </c>
      <c r="I201" s="52" t="s">
        <v>358</v>
      </c>
      <c r="J201" s="21"/>
      <c r="K201" s="81"/>
      <c r="M201" s="21"/>
      <c r="N201" s="21"/>
      <c r="P201" s="21"/>
    </row>
    <row r="202" ht="15.75" customHeight="1">
      <c r="B202" s="47" t="s">
        <v>359</v>
      </c>
      <c r="C202" s="48" t="s">
        <v>360</v>
      </c>
      <c r="D202" s="64">
        <v>2.0</v>
      </c>
      <c r="E202" s="71">
        <v>160.0</v>
      </c>
      <c r="F202" s="65">
        <v>320.0</v>
      </c>
      <c r="G202" s="74">
        <v>21000.0</v>
      </c>
      <c r="H202" s="74">
        <v>6720000.0</v>
      </c>
      <c r="I202" s="54" t="s">
        <v>361</v>
      </c>
      <c r="J202" s="21"/>
      <c r="K202" s="81"/>
      <c r="M202" s="21"/>
      <c r="N202" s="21"/>
      <c r="P202" s="21"/>
    </row>
    <row r="203" ht="15.75" customHeight="1">
      <c r="B203" s="47" t="s">
        <v>362</v>
      </c>
      <c r="C203" s="48" t="s">
        <v>363</v>
      </c>
      <c r="D203" s="64">
        <v>2.0</v>
      </c>
      <c r="E203" s="49">
        <v>150.0</v>
      </c>
      <c r="F203" s="63">
        <v>300.0</v>
      </c>
      <c r="G203" s="60">
        <v>21000.0</v>
      </c>
      <c r="H203" s="60">
        <v>6300000.0</v>
      </c>
      <c r="I203" s="52" t="s">
        <v>364</v>
      </c>
      <c r="J203" s="21"/>
      <c r="K203" s="81"/>
      <c r="M203" s="21"/>
      <c r="N203" s="21"/>
      <c r="P203" s="21"/>
    </row>
    <row r="204" ht="15.75" customHeight="1">
      <c r="B204" s="47" t="s">
        <v>365</v>
      </c>
      <c r="C204" s="48" t="s">
        <v>366</v>
      </c>
      <c r="D204" s="64">
        <v>1.0</v>
      </c>
      <c r="E204" s="49">
        <v>112.0</v>
      </c>
      <c r="F204" s="63">
        <v>112.0</v>
      </c>
      <c r="G204" s="60">
        <v>89637.5</v>
      </c>
      <c r="H204" s="60">
        <v>1.00394E7</v>
      </c>
      <c r="I204" s="52" t="s">
        <v>367</v>
      </c>
      <c r="J204" s="21"/>
      <c r="K204" s="81"/>
      <c r="M204" s="21"/>
      <c r="N204" s="21"/>
      <c r="P204" s="21"/>
    </row>
    <row r="205" ht="15.75" customHeight="1">
      <c r="B205" s="47" t="s">
        <v>368</v>
      </c>
      <c r="C205" s="48" t="s">
        <v>369</v>
      </c>
      <c r="D205" s="64">
        <v>2.0</v>
      </c>
      <c r="E205" s="49">
        <v>42.0</v>
      </c>
      <c r="F205" s="63">
        <v>84.0</v>
      </c>
      <c r="G205" s="60">
        <v>79687.5</v>
      </c>
      <c r="H205" s="60">
        <v>6693750.0</v>
      </c>
      <c r="I205" s="52" t="s">
        <v>370</v>
      </c>
      <c r="J205" s="21"/>
      <c r="K205" s="81"/>
      <c r="M205" s="21"/>
      <c r="N205" s="21"/>
      <c r="P205" s="21"/>
    </row>
    <row r="206" ht="15.75" customHeight="1">
      <c r="B206" s="47" t="s">
        <v>371</v>
      </c>
      <c r="C206" s="52" t="s">
        <v>369</v>
      </c>
      <c r="D206" s="64">
        <v>2.0</v>
      </c>
      <c r="E206" s="49">
        <v>56.0</v>
      </c>
      <c r="F206" s="63">
        <v>112.0</v>
      </c>
      <c r="G206" s="60">
        <v>79687.5</v>
      </c>
      <c r="H206" s="60">
        <v>8925000.0</v>
      </c>
      <c r="I206" s="52" t="s">
        <v>372</v>
      </c>
      <c r="J206" s="21"/>
      <c r="K206" s="81"/>
      <c r="M206" s="21"/>
      <c r="N206" s="21"/>
      <c r="P206" s="21"/>
    </row>
    <row r="207" ht="15.75" customHeight="1">
      <c r="B207" s="47" t="s">
        <v>373</v>
      </c>
      <c r="C207" s="52" t="s">
        <v>374</v>
      </c>
      <c r="D207" s="64">
        <v>2.0</v>
      </c>
      <c r="E207" s="49">
        <v>28.0</v>
      </c>
      <c r="F207" s="63">
        <v>56.0</v>
      </c>
      <c r="G207" s="60">
        <v>71718.75</v>
      </c>
      <c r="H207" s="60">
        <v>4016250.0</v>
      </c>
      <c r="I207" s="52" t="s">
        <v>375</v>
      </c>
      <c r="J207" s="21"/>
      <c r="K207" s="82"/>
      <c r="M207" s="21"/>
      <c r="N207" s="21"/>
      <c r="P207" s="21"/>
    </row>
    <row r="208" ht="15.75" customHeight="1">
      <c r="B208" s="47" t="s">
        <v>376</v>
      </c>
      <c r="C208" s="48"/>
      <c r="D208" s="55"/>
      <c r="E208" s="49"/>
      <c r="F208" s="63">
        <v>1048.0</v>
      </c>
      <c r="G208" s="63"/>
      <c r="H208" s="60">
        <v>4.72844E7</v>
      </c>
      <c r="I208" s="52"/>
      <c r="J208" s="21"/>
      <c r="K208" s="82"/>
      <c r="M208" s="21"/>
      <c r="N208" s="21"/>
      <c r="P208" s="21"/>
    </row>
    <row r="209" ht="15.75" customHeight="1">
      <c r="C209" s="30"/>
      <c r="F209" s="20"/>
      <c r="I209" s="21"/>
      <c r="J209" s="21"/>
      <c r="K209" s="82"/>
      <c r="M209" s="21"/>
      <c r="N209" s="21"/>
      <c r="P209" s="21"/>
    </row>
    <row r="210" ht="15.75" customHeight="1">
      <c r="C210" s="30"/>
      <c r="F210" s="20"/>
      <c r="I210" s="21"/>
      <c r="J210" s="21"/>
      <c r="K210" s="82"/>
      <c r="M210" s="21"/>
      <c r="N210" s="21"/>
      <c r="P210" s="21"/>
    </row>
    <row r="211" ht="15.75" customHeight="1">
      <c r="B211" s="47" t="s">
        <v>348</v>
      </c>
      <c r="C211" s="51" t="s">
        <v>377</v>
      </c>
      <c r="F211" s="20"/>
      <c r="I211" s="21"/>
      <c r="J211" s="21"/>
      <c r="K211" s="82"/>
      <c r="M211" s="21"/>
      <c r="N211" s="21"/>
      <c r="P211" s="21"/>
    </row>
    <row r="212" ht="15.75" customHeight="1">
      <c r="B212" s="78" t="s">
        <v>351</v>
      </c>
      <c r="C212" s="79" t="s">
        <v>352</v>
      </c>
      <c r="F212" s="20"/>
      <c r="I212" s="21"/>
      <c r="J212" s="21"/>
      <c r="K212" s="82"/>
      <c r="M212" s="21"/>
      <c r="N212" s="21"/>
      <c r="P212" s="21"/>
    </row>
    <row r="213" ht="15.75" customHeight="1">
      <c r="B213" s="80" t="s">
        <v>353</v>
      </c>
      <c r="C213" s="79" t="s">
        <v>354</v>
      </c>
      <c r="F213" s="20"/>
      <c r="I213" s="21"/>
      <c r="J213" s="21"/>
      <c r="K213" s="82"/>
      <c r="M213" s="21"/>
      <c r="N213" s="21"/>
      <c r="P213" s="21"/>
    </row>
    <row r="214" ht="15.75" customHeight="1">
      <c r="C214" s="30"/>
      <c r="F214" s="20"/>
      <c r="I214" s="21"/>
      <c r="J214" s="21"/>
      <c r="K214" s="82"/>
      <c r="M214" s="21"/>
      <c r="N214" s="21"/>
      <c r="P214" s="21"/>
    </row>
    <row r="215" ht="15.75" customHeight="1">
      <c r="C215" s="30"/>
      <c r="F215" s="20"/>
      <c r="I215" s="21"/>
      <c r="J215" s="21"/>
      <c r="K215" s="82"/>
      <c r="M215" s="21"/>
      <c r="N215" s="21"/>
      <c r="P215" s="21"/>
    </row>
    <row r="216" ht="15.75" customHeight="1">
      <c r="C216" s="30"/>
      <c r="F216" s="20"/>
      <c r="I216" s="21"/>
      <c r="J216" s="21"/>
      <c r="K216" s="82"/>
      <c r="M216" s="21"/>
      <c r="N216" s="21"/>
      <c r="P216" s="21"/>
    </row>
    <row r="217" ht="15.75" customHeight="1">
      <c r="C217" s="30"/>
      <c r="F217" s="20"/>
      <c r="I217" s="21"/>
      <c r="J217" s="21"/>
      <c r="K217" s="82"/>
      <c r="M217" s="21"/>
      <c r="N217" s="21"/>
      <c r="P217" s="21"/>
    </row>
    <row r="218" ht="15.75" customHeight="1">
      <c r="C218" s="30"/>
      <c r="F218" s="20"/>
      <c r="I218" s="21"/>
      <c r="J218" s="21"/>
      <c r="K218" s="82"/>
      <c r="M218" s="21"/>
      <c r="N218" s="21"/>
      <c r="P218" s="21"/>
    </row>
    <row r="219" ht="15.75" customHeight="1">
      <c r="C219" s="30"/>
      <c r="F219" s="20"/>
      <c r="I219" s="21"/>
      <c r="J219" s="21"/>
      <c r="K219" s="82"/>
      <c r="M219" s="21"/>
      <c r="N219" s="21"/>
      <c r="P219" s="21"/>
    </row>
    <row r="220" ht="15.75" customHeight="1">
      <c r="B220" s="40" t="s">
        <v>26</v>
      </c>
      <c r="C220" s="41" t="s">
        <v>218</v>
      </c>
      <c r="D220" s="41" t="s">
        <v>36</v>
      </c>
      <c r="F220" s="20"/>
      <c r="I220" s="21"/>
      <c r="J220" s="21"/>
      <c r="K220" s="82"/>
      <c r="M220" s="21"/>
      <c r="N220" s="21"/>
      <c r="P220" s="21"/>
    </row>
    <row r="221" ht="15.75" customHeight="1">
      <c r="B221" s="47" t="s">
        <v>378</v>
      </c>
      <c r="C221" s="83">
        <v>1.19E7</v>
      </c>
      <c r="D221" s="48" t="s">
        <v>379</v>
      </c>
      <c r="F221" s="20"/>
      <c r="I221" s="21"/>
      <c r="J221" s="21"/>
      <c r="K221" s="82"/>
      <c r="M221" s="21"/>
      <c r="N221" s="21"/>
      <c r="P221" s="21"/>
    </row>
    <row r="222" ht="15.75" customHeight="1">
      <c r="B222" s="47" t="s">
        <v>380</v>
      </c>
      <c r="C222" s="83">
        <v>1200000.0</v>
      </c>
      <c r="D222" s="48" t="s">
        <v>381</v>
      </c>
      <c r="F222" s="20"/>
      <c r="I222" s="21"/>
      <c r="J222" s="21"/>
      <c r="K222" s="82"/>
      <c r="M222" s="21"/>
      <c r="N222" s="21"/>
      <c r="P222" s="21"/>
    </row>
    <row r="223" ht="15.75" customHeight="1">
      <c r="B223" s="47" t="s">
        <v>382</v>
      </c>
      <c r="C223" s="83">
        <v>2100000.0</v>
      </c>
      <c r="D223" s="48" t="s">
        <v>383</v>
      </c>
      <c r="F223" s="20"/>
      <c r="I223" s="21"/>
      <c r="J223" s="21"/>
      <c r="K223" s="82"/>
      <c r="M223" s="21"/>
      <c r="N223" s="21"/>
      <c r="P223" s="21"/>
    </row>
    <row r="224" ht="15.75" customHeight="1">
      <c r="B224" s="47" t="s">
        <v>384</v>
      </c>
      <c r="C224" s="83">
        <v>750000.0</v>
      </c>
      <c r="D224" s="48" t="s">
        <v>385</v>
      </c>
      <c r="F224" s="20"/>
      <c r="I224" s="21"/>
      <c r="J224" s="21"/>
      <c r="K224" s="82"/>
      <c r="M224" s="21"/>
      <c r="N224" s="21"/>
      <c r="P224" s="21"/>
    </row>
    <row r="225" ht="15.75" customHeight="1">
      <c r="B225" s="47" t="s">
        <v>386</v>
      </c>
      <c r="C225" s="61">
        <v>486000.0</v>
      </c>
      <c r="D225" s="48" t="s">
        <v>387</v>
      </c>
      <c r="F225" s="20"/>
      <c r="I225" s="21"/>
      <c r="J225" s="21"/>
      <c r="K225" s="82"/>
      <c r="M225" s="21"/>
      <c r="N225" s="21"/>
      <c r="P225" s="21"/>
    </row>
    <row r="226" ht="15.75" customHeight="1">
      <c r="B226" s="47" t="s">
        <v>388</v>
      </c>
      <c r="C226" s="61">
        <v>570000.0</v>
      </c>
      <c r="D226" s="48" t="s">
        <v>389</v>
      </c>
      <c r="F226" s="20"/>
      <c r="I226" s="21"/>
      <c r="J226" s="21"/>
      <c r="K226" s="82"/>
      <c r="M226" s="21"/>
      <c r="N226" s="21"/>
      <c r="P226" s="21"/>
    </row>
    <row r="227" ht="15.75" customHeight="1">
      <c r="B227" s="47" t="s">
        <v>390</v>
      </c>
      <c r="C227" s="83">
        <v>600000.0</v>
      </c>
      <c r="D227" s="61" t="s">
        <v>391</v>
      </c>
      <c r="F227" s="20"/>
      <c r="I227" s="21"/>
      <c r="J227" s="21"/>
      <c r="K227" s="82"/>
      <c r="M227" s="21"/>
      <c r="N227" s="21"/>
      <c r="P227" s="21"/>
    </row>
    <row r="228" ht="15.75" customHeight="1">
      <c r="B228" s="47" t="s">
        <v>392</v>
      </c>
      <c r="C228" s="83">
        <v>800000.0</v>
      </c>
      <c r="D228" s="48" t="s">
        <v>393</v>
      </c>
      <c r="F228" s="20"/>
      <c r="I228" s="21"/>
      <c r="J228" s="21"/>
      <c r="K228" s="82"/>
      <c r="M228" s="21"/>
      <c r="N228" s="21"/>
      <c r="P228" s="21"/>
    </row>
    <row r="229" ht="15.75" customHeight="1">
      <c r="B229" s="47" t="s">
        <v>394</v>
      </c>
      <c r="C229" s="83">
        <v>750000.0</v>
      </c>
      <c r="D229" s="48" t="s">
        <v>395</v>
      </c>
      <c r="F229" s="20"/>
      <c r="I229" s="21"/>
      <c r="J229" s="21"/>
      <c r="K229" s="82"/>
      <c r="M229" s="21"/>
      <c r="N229" s="21"/>
      <c r="P229" s="21"/>
    </row>
    <row r="230" ht="15.75" customHeight="1">
      <c r="B230" s="47" t="s">
        <v>396</v>
      </c>
      <c r="C230" s="83">
        <v>500000.0</v>
      </c>
      <c r="D230" s="48" t="s">
        <v>397</v>
      </c>
      <c r="F230" s="20"/>
      <c r="I230" s="21"/>
      <c r="J230" s="21"/>
      <c r="K230" s="82"/>
      <c r="M230" s="21"/>
      <c r="N230" s="21"/>
      <c r="P230" s="21"/>
    </row>
    <row r="231" ht="15.75" customHeight="1">
      <c r="B231" s="47" t="s">
        <v>398</v>
      </c>
      <c r="C231" s="83">
        <v>350000.0</v>
      </c>
      <c r="D231" s="48" t="s">
        <v>399</v>
      </c>
      <c r="F231" s="20"/>
      <c r="I231" s="21"/>
      <c r="J231" s="21"/>
      <c r="K231" s="82"/>
      <c r="M231" s="21"/>
      <c r="N231" s="21"/>
      <c r="P231" s="21"/>
    </row>
    <row r="232" ht="15.75" customHeight="1">
      <c r="B232" s="47" t="s">
        <v>400</v>
      </c>
      <c r="C232" s="83">
        <v>300000.0</v>
      </c>
      <c r="D232" s="48" t="s">
        <v>401</v>
      </c>
      <c r="F232" s="20"/>
      <c r="I232" s="21"/>
      <c r="J232" s="21"/>
      <c r="K232" s="82"/>
      <c r="M232" s="21"/>
      <c r="N232" s="21"/>
      <c r="P232" s="21"/>
    </row>
    <row r="233" ht="15.75" customHeight="1">
      <c r="B233" s="47" t="s">
        <v>402</v>
      </c>
      <c r="C233" s="61">
        <v>700000.0</v>
      </c>
      <c r="D233" s="48" t="s">
        <v>403</v>
      </c>
      <c r="F233" s="20"/>
      <c r="I233" s="21"/>
      <c r="J233" s="21"/>
      <c r="K233" s="82"/>
      <c r="M233" s="21"/>
      <c r="N233" s="21"/>
      <c r="P233" s="21"/>
    </row>
    <row r="234" ht="15.75" customHeight="1">
      <c r="B234" s="47" t="s">
        <v>404</v>
      </c>
      <c r="C234" s="61">
        <v>1200000.0</v>
      </c>
      <c r="D234" s="48" t="s">
        <v>405</v>
      </c>
      <c r="F234" s="20"/>
      <c r="I234" s="21"/>
      <c r="J234" s="21"/>
      <c r="K234" s="82"/>
      <c r="M234" s="21"/>
      <c r="N234" s="21"/>
      <c r="P234" s="21"/>
    </row>
    <row r="235" ht="15.75" customHeight="1">
      <c r="B235" s="47" t="s">
        <v>406</v>
      </c>
      <c r="C235" s="83">
        <v>900000.0</v>
      </c>
      <c r="D235" s="61" t="s">
        <v>407</v>
      </c>
      <c r="F235" s="20"/>
      <c r="I235" s="21"/>
      <c r="J235" s="21"/>
      <c r="K235" s="82"/>
      <c r="M235" s="21"/>
      <c r="N235" s="21"/>
      <c r="P235" s="21"/>
    </row>
    <row r="236" ht="15.75" customHeight="1">
      <c r="B236" s="47" t="s">
        <v>408</v>
      </c>
      <c r="C236" s="83">
        <v>300000.0</v>
      </c>
      <c r="D236" s="61" t="s">
        <v>409</v>
      </c>
      <c r="F236" s="20"/>
      <c r="I236" s="21"/>
      <c r="J236" s="21"/>
      <c r="K236" s="82"/>
      <c r="M236" s="21"/>
      <c r="N236" s="21"/>
      <c r="P236" s="21"/>
    </row>
    <row r="237" ht="15.75" customHeight="1">
      <c r="B237" s="47" t="s">
        <v>410</v>
      </c>
      <c r="C237" s="83">
        <f>SUM(C221:C236)</f>
        <v>23406000</v>
      </c>
      <c r="D237" s="61"/>
      <c r="F237" s="20"/>
      <c r="I237" s="21"/>
      <c r="J237" s="21"/>
      <c r="K237" s="82"/>
      <c r="M237" s="21"/>
      <c r="N237" s="21"/>
      <c r="P237" s="21"/>
    </row>
    <row r="238" ht="15.75" customHeight="1">
      <c r="C238" s="30"/>
      <c r="F238" s="20"/>
      <c r="I238" s="21"/>
      <c r="J238" s="21"/>
      <c r="K238" s="82"/>
      <c r="M238" s="21"/>
      <c r="N238" s="21"/>
      <c r="P238" s="21"/>
    </row>
    <row r="239" ht="15.75" customHeight="1">
      <c r="C239" s="30"/>
      <c r="F239" s="20"/>
      <c r="I239" s="21"/>
      <c r="J239" s="21"/>
      <c r="K239" s="81"/>
      <c r="M239" s="21"/>
      <c r="N239" s="21"/>
      <c r="P239" s="21"/>
    </row>
    <row r="240" ht="15.75" customHeight="1">
      <c r="C240" s="30"/>
      <c r="F240" s="20"/>
      <c r="I240" s="21"/>
      <c r="J240" s="21"/>
      <c r="K240" s="81"/>
      <c r="M240" s="21"/>
      <c r="N240" s="21"/>
      <c r="P240" s="21"/>
    </row>
    <row r="241" ht="15.75" customHeight="1">
      <c r="B241" s="37" t="s">
        <v>411</v>
      </c>
      <c r="C241" s="30"/>
      <c r="E241" s="84" t="s">
        <v>412</v>
      </c>
      <c r="F241" s="3"/>
      <c r="I241" s="21"/>
      <c r="J241" s="21"/>
      <c r="K241" s="81"/>
      <c r="M241" s="21"/>
      <c r="N241" s="21"/>
      <c r="P241" s="21"/>
    </row>
    <row r="242" ht="15.75" customHeight="1">
      <c r="B242" s="35"/>
      <c r="C242" s="30"/>
      <c r="E242" s="7"/>
      <c r="F242" s="9"/>
      <c r="I242" s="21"/>
      <c r="J242" s="21"/>
      <c r="K242" s="81"/>
      <c r="M242" s="21"/>
      <c r="N242" s="21"/>
      <c r="P242" s="21"/>
    </row>
    <row r="243" ht="15.75" customHeight="1">
      <c r="C243" s="30"/>
      <c r="F243" s="20"/>
      <c r="I243" s="21"/>
      <c r="J243" s="21"/>
      <c r="K243" s="81"/>
      <c r="M243" s="21"/>
      <c r="N243" s="21"/>
      <c r="P243" s="21"/>
    </row>
    <row r="244" ht="15.75" customHeight="1">
      <c r="B244" s="40" t="s">
        <v>413</v>
      </c>
      <c r="C244" s="41" t="s">
        <v>33</v>
      </c>
      <c r="E244" s="40" t="s">
        <v>414</v>
      </c>
      <c r="F244" s="85" t="s">
        <v>415</v>
      </c>
      <c r="I244" s="21"/>
      <c r="J244" s="21"/>
      <c r="K244" s="86"/>
      <c r="M244" s="21"/>
      <c r="N244" s="21"/>
      <c r="P244" s="21"/>
    </row>
    <row r="245" ht="15.75" customHeight="1">
      <c r="B245" s="47" t="s">
        <v>416</v>
      </c>
      <c r="C245" s="83">
        <f>G47</f>
        <v>47086918.42</v>
      </c>
      <c r="E245" s="47" t="s">
        <v>417</v>
      </c>
      <c r="F245" s="87">
        <f>F185</f>
        <v>2440</v>
      </c>
      <c r="I245" s="21"/>
      <c r="J245" s="21"/>
      <c r="M245" s="21"/>
      <c r="N245" s="21"/>
      <c r="P245" s="21"/>
    </row>
    <row r="246" ht="15.75" customHeight="1">
      <c r="B246" s="47" t="s">
        <v>418</v>
      </c>
      <c r="C246" s="83">
        <f>G93</f>
        <v>483426000</v>
      </c>
      <c r="E246" s="47" t="s">
        <v>355</v>
      </c>
      <c r="F246" s="87">
        <f>F208</f>
        <v>1048</v>
      </c>
      <c r="G246" s="42" t="s">
        <v>419</v>
      </c>
      <c r="H246" s="88" t="s">
        <v>420</v>
      </c>
      <c r="I246" s="15"/>
      <c r="J246" s="21"/>
      <c r="M246" s="21"/>
      <c r="N246" s="21"/>
      <c r="P246" s="21"/>
    </row>
    <row r="247" ht="15.75" customHeight="1">
      <c r="B247" s="47" t="s">
        <v>421</v>
      </c>
      <c r="C247" s="83">
        <f>E146</f>
        <v>120952000</v>
      </c>
      <c r="E247" s="47" t="s">
        <v>422</v>
      </c>
      <c r="F247" s="68">
        <f>SUM(F245:F246)</f>
        <v>3488</v>
      </c>
      <c r="G247" s="80" t="s">
        <v>423</v>
      </c>
      <c r="H247" s="89" t="s">
        <v>424</v>
      </c>
      <c r="I247" s="15"/>
      <c r="J247" s="21"/>
      <c r="M247" s="21"/>
      <c r="N247" s="21"/>
      <c r="P247" s="21"/>
    </row>
    <row r="248" ht="15.75" customHeight="1">
      <c r="B248" s="47" t="s">
        <v>425</v>
      </c>
      <c r="C248" s="83">
        <f>E104</f>
        <v>28762000</v>
      </c>
      <c r="E248" s="70"/>
      <c r="F248" s="20"/>
      <c r="I248" s="21"/>
      <c r="J248" s="21"/>
      <c r="M248" s="21"/>
      <c r="N248" s="21"/>
      <c r="P248" s="21"/>
    </row>
    <row r="249" ht="15.75" customHeight="1">
      <c r="B249" s="47" t="s">
        <v>426</v>
      </c>
      <c r="C249" s="83">
        <f>D163</f>
        <v>30572000</v>
      </c>
      <c r="F249" s="20"/>
      <c r="I249" s="21"/>
      <c r="J249" s="21"/>
      <c r="M249" s="21"/>
      <c r="N249" s="21"/>
      <c r="P249" s="21"/>
    </row>
    <row r="250" ht="15.75" customHeight="1">
      <c r="B250" s="47" t="s">
        <v>427</v>
      </c>
      <c r="C250" s="61">
        <f>H185</f>
        <v>185866500</v>
      </c>
      <c r="F250" s="20"/>
      <c r="I250" s="21"/>
      <c r="J250" s="21"/>
      <c r="M250" s="21"/>
      <c r="N250" s="21"/>
      <c r="P250" s="21"/>
    </row>
    <row r="251" ht="15.75" customHeight="1">
      <c r="B251" s="47" t="s">
        <v>428</v>
      </c>
      <c r="C251" s="61">
        <f>C237+H208</f>
        <v>70690400</v>
      </c>
      <c r="E251" s="84" t="s">
        <v>429</v>
      </c>
      <c r="F251" s="3"/>
      <c r="I251" s="21"/>
      <c r="J251" s="21"/>
      <c r="M251" s="21"/>
      <c r="N251" s="21"/>
      <c r="P251" s="21"/>
    </row>
    <row r="252" ht="15.75" customHeight="1">
      <c r="B252" s="47" t="s">
        <v>430</v>
      </c>
      <c r="C252" s="83">
        <f>SUM(C245:C251)</f>
        <v>967355818.4</v>
      </c>
      <c r="E252" s="7"/>
      <c r="F252" s="9"/>
      <c r="I252" s="21"/>
      <c r="J252" s="21"/>
      <c r="M252" s="21"/>
      <c r="N252" s="21"/>
      <c r="P252" s="21"/>
    </row>
    <row r="253" ht="15.75" customHeight="1">
      <c r="C253" s="30"/>
      <c r="F253" s="20"/>
      <c r="I253" s="21"/>
      <c r="J253" s="21"/>
      <c r="M253" s="21"/>
      <c r="N253" s="21"/>
      <c r="P253" s="21"/>
    </row>
    <row r="254" ht="15.75" customHeight="1">
      <c r="C254" s="30"/>
      <c r="E254" s="40" t="s">
        <v>414</v>
      </c>
      <c r="F254" s="85" t="s">
        <v>431</v>
      </c>
      <c r="I254" s="21"/>
      <c r="J254" s="21"/>
      <c r="M254" s="21"/>
      <c r="N254" s="21"/>
      <c r="P254" s="21"/>
    </row>
    <row r="255" ht="15.75" customHeight="1">
      <c r="C255" s="30"/>
      <c r="E255" s="47" t="s">
        <v>427</v>
      </c>
      <c r="F255" s="60">
        <f>H185</f>
        <v>185866500</v>
      </c>
      <c r="I255" s="21"/>
      <c r="J255" s="21"/>
      <c r="M255" s="21"/>
      <c r="N255" s="21"/>
      <c r="P255" s="21"/>
    </row>
    <row r="256" ht="15.75" customHeight="1">
      <c r="C256" s="30"/>
      <c r="E256" s="47" t="s">
        <v>428</v>
      </c>
      <c r="F256" s="60">
        <f>H208</f>
        <v>47284400</v>
      </c>
      <c r="I256" s="21"/>
      <c r="J256" s="21"/>
      <c r="M256" s="21"/>
      <c r="N256" s="21"/>
      <c r="P256" s="21"/>
    </row>
    <row r="257" ht="15.75" customHeight="1">
      <c r="C257" s="30"/>
      <c r="E257" s="47" t="s">
        <v>432</v>
      </c>
      <c r="F257" s="90">
        <f>SUM(F255:F256)</f>
        <v>233150900</v>
      </c>
      <c r="I257" s="21"/>
      <c r="J257" s="21"/>
      <c r="M257" s="21"/>
      <c r="N257" s="21"/>
      <c r="P257" s="21"/>
    </row>
    <row r="258" ht="15.75" customHeight="1">
      <c r="C258" s="30"/>
      <c r="F258" s="20"/>
      <c r="I258" s="21"/>
      <c r="J258" s="21"/>
      <c r="M258" s="21"/>
      <c r="N258" s="21"/>
      <c r="P258" s="21"/>
    </row>
    <row r="259" ht="15.75" customHeight="1">
      <c r="C259" s="30"/>
      <c r="F259" s="20"/>
      <c r="I259" s="21"/>
      <c r="J259" s="21"/>
      <c r="M259" s="21"/>
      <c r="N259" s="21"/>
      <c r="P259" s="21"/>
    </row>
    <row r="260" ht="15.75" customHeight="1">
      <c r="C260" s="30"/>
      <c r="F260" s="20"/>
      <c r="I260" s="21"/>
      <c r="J260" s="21"/>
      <c r="M260" s="21"/>
      <c r="N260" s="21"/>
      <c r="P260" s="21"/>
    </row>
    <row r="261" ht="15.75" customHeight="1">
      <c r="C261" s="30"/>
      <c r="F261" s="20"/>
      <c r="I261" s="21"/>
      <c r="J261" s="21"/>
      <c r="M261" s="21"/>
      <c r="N261" s="21"/>
      <c r="P261" s="21"/>
    </row>
    <row r="262" ht="15.75" customHeight="1">
      <c r="C262" s="30"/>
      <c r="F262" s="20"/>
      <c r="I262" s="21"/>
      <c r="J262" s="21"/>
      <c r="M262" s="21"/>
      <c r="N262" s="21"/>
      <c r="P262" s="21"/>
    </row>
    <row r="263" ht="15.75" customHeight="1">
      <c r="C263" s="30"/>
      <c r="F263" s="20"/>
      <c r="I263" s="21"/>
      <c r="J263" s="21"/>
      <c r="M263" s="21"/>
      <c r="N263" s="21"/>
      <c r="P263" s="21"/>
    </row>
    <row r="264" ht="15.75" customHeight="1">
      <c r="C264" s="30"/>
      <c r="F264" s="20"/>
      <c r="I264" s="21"/>
      <c r="J264" s="21"/>
      <c r="M264" s="21"/>
      <c r="N264" s="21"/>
      <c r="P264" s="21"/>
    </row>
    <row r="265" ht="15.75" customHeight="1">
      <c r="C265" s="30"/>
      <c r="F265" s="20"/>
      <c r="I265" s="21"/>
      <c r="J265" s="21"/>
      <c r="M265" s="21"/>
      <c r="N265" s="21"/>
      <c r="P265" s="21"/>
    </row>
    <row r="266" ht="15.75" customHeight="1">
      <c r="C266" s="30"/>
      <c r="F266" s="20"/>
      <c r="I266" s="21"/>
      <c r="J266" s="21"/>
      <c r="M266" s="21"/>
      <c r="N266" s="21"/>
      <c r="P266" s="21"/>
    </row>
    <row r="267" ht="15.75" customHeight="1">
      <c r="C267" s="30"/>
      <c r="F267" s="20"/>
      <c r="I267" s="21"/>
      <c r="J267" s="21"/>
      <c r="M267" s="21"/>
      <c r="N267" s="21"/>
      <c r="P267" s="21"/>
    </row>
    <row r="268" ht="15.75" customHeight="1">
      <c r="C268" s="30"/>
      <c r="F268" s="20"/>
      <c r="I268" s="21"/>
      <c r="J268" s="21"/>
      <c r="M268" s="21"/>
      <c r="N268" s="21"/>
      <c r="P268" s="21"/>
    </row>
    <row r="269" ht="15.75" customHeight="1">
      <c r="C269" s="30"/>
      <c r="F269" s="20"/>
      <c r="I269" s="21"/>
      <c r="J269" s="21"/>
      <c r="M269" s="21"/>
      <c r="N269" s="21"/>
      <c r="P269" s="21"/>
    </row>
    <row r="270" ht="15.75" customHeight="1">
      <c r="C270" s="30"/>
      <c r="F270" s="20"/>
      <c r="I270" s="21"/>
      <c r="J270" s="21"/>
      <c r="M270" s="21"/>
      <c r="N270" s="21"/>
      <c r="P270" s="21"/>
    </row>
    <row r="271" ht="15.75" customHeight="1">
      <c r="C271" s="30"/>
      <c r="F271" s="20"/>
      <c r="I271" s="21"/>
      <c r="J271" s="21"/>
      <c r="M271" s="21"/>
      <c r="N271" s="21"/>
      <c r="P271" s="21"/>
    </row>
    <row r="272" ht="15.75" customHeight="1">
      <c r="C272" s="30"/>
      <c r="F272" s="20"/>
      <c r="I272" s="21"/>
      <c r="J272" s="21"/>
      <c r="M272" s="21"/>
      <c r="N272" s="21"/>
      <c r="P272" s="21"/>
    </row>
    <row r="273" ht="15.75" customHeight="1">
      <c r="C273" s="30"/>
      <c r="F273" s="20"/>
      <c r="I273" s="21"/>
      <c r="J273" s="21"/>
      <c r="M273" s="21"/>
      <c r="N273" s="21"/>
      <c r="P273" s="21"/>
    </row>
    <row r="274" ht="15.75" customHeight="1">
      <c r="C274" s="30"/>
      <c r="F274" s="20"/>
      <c r="I274" s="21"/>
      <c r="J274" s="21"/>
      <c r="M274" s="21"/>
      <c r="N274" s="21"/>
      <c r="P274" s="21"/>
    </row>
    <row r="275" ht="15.75" customHeight="1">
      <c r="C275" s="30"/>
      <c r="F275" s="20"/>
      <c r="I275" s="21"/>
      <c r="J275" s="21"/>
      <c r="M275" s="21"/>
      <c r="N275" s="21"/>
      <c r="P275" s="21"/>
    </row>
    <row r="276" ht="15.75" customHeight="1">
      <c r="C276" s="30"/>
      <c r="F276" s="20"/>
      <c r="I276" s="21"/>
      <c r="J276" s="21"/>
      <c r="M276" s="21"/>
      <c r="N276" s="21"/>
      <c r="P276" s="21"/>
    </row>
    <row r="277" ht="15.75" customHeight="1">
      <c r="C277" s="30"/>
      <c r="F277" s="20"/>
      <c r="I277" s="21"/>
      <c r="J277" s="21"/>
      <c r="M277" s="21"/>
      <c r="N277" s="21"/>
      <c r="P277" s="21"/>
    </row>
    <row r="278" ht="15.75" customHeight="1">
      <c r="C278" s="30"/>
      <c r="F278" s="20"/>
      <c r="I278" s="21"/>
      <c r="J278" s="21"/>
      <c r="M278" s="21"/>
      <c r="N278" s="21"/>
      <c r="P278" s="21"/>
    </row>
    <row r="279" ht="15.75" customHeight="1">
      <c r="C279" s="30"/>
      <c r="F279" s="20"/>
      <c r="I279" s="21"/>
      <c r="J279" s="21"/>
      <c r="M279" s="21"/>
      <c r="N279" s="21"/>
      <c r="P279" s="21"/>
    </row>
    <row r="280" ht="15.75" customHeight="1">
      <c r="C280" s="30"/>
      <c r="F280" s="20"/>
      <c r="I280" s="21"/>
      <c r="J280" s="21"/>
      <c r="M280" s="21"/>
      <c r="N280" s="21"/>
      <c r="P280" s="21"/>
    </row>
    <row r="281" ht="15.75" customHeight="1">
      <c r="C281" s="30"/>
      <c r="F281" s="20"/>
      <c r="I281" s="21"/>
      <c r="J281" s="21"/>
      <c r="M281" s="21"/>
      <c r="N281" s="21"/>
      <c r="P281" s="21"/>
    </row>
    <row r="282" ht="15.75" customHeight="1">
      <c r="C282" s="30"/>
      <c r="F282" s="20"/>
      <c r="I282" s="21"/>
      <c r="J282" s="21"/>
      <c r="M282" s="21"/>
      <c r="N282" s="21"/>
      <c r="P282" s="21"/>
    </row>
    <row r="283" ht="15.75" customHeight="1">
      <c r="C283" s="30"/>
      <c r="F283" s="20"/>
      <c r="I283" s="21"/>
      <c r="J283" s="21"/>
      <c r="M283" s="21"/>
      <c r="N283" s="21"/>
      <c r="P283" s="21"/>
    </row>
    <row r="284" ht="15.75" customHeight="1">
      <c r="C284" s="30"/>
      <c r="F284" s="20"/>
      <c r="I284" s="21"/>
      <c r="J284" s="21"/>
      <c r="M284" s="21"/>
      <c r="N284" s="21"/>
      <c r="P284" s="21"/>
    </row>
    <row r="285" ht="15.75" customHeight="1">
      <c r="C285" s="30"/>
      <c r="F285" s="20"/>
      <c r="I285" s="21"/>
      <c r="J285" s="21"/>
      <c r="M285" s="21"/>
      <c r="N285" s="21"/>
      <c r="P285" s="21"/>
    </row>
    <row r="286" ht="15.75" customHeight="1">
      <c r="C286" s="30"/>
      <c r="F286" s="20"/>
      <c r="I286" s="21"/>
      <c r="J286" s="21"/>
      <c r="M286" s="21"/>
      <c r="N286" s="21"/>
      <c r="P286" s="21"/>
    </row>
    <row r="287" ht="15.75" customHeight="1">
      <c r="C287" s="30"/>
      <c r="F287" s="20"/>
      <c r="I287" s="21"/>
      <c r="J287" s="21"/>
      <c r="M287" s="21"/>
      <c r="N287" s="21"/>
      <c r="P287" s="21"/>
    </row>
    <row r="288" ht="15.75" customHeight="1">
      <c r="C288" s="30"/>
      <c r="F288" s="20"/>
      <c r="I288" s="21"/>
      <c r="J288" s="21"/>
      <c r="M288" s="21"/>
      <c r="N288" s="21"/>
      <c r="P288" s="21"/>
    </row>
    <row r="289" ht="15.75" customHeight="1">
      <c r="C289" s="30"/>
      <c r="F289" s="20"/>
      <c r="I289" s="21"/>
      <c r="J289" s="21"/>
      <c r="M289" s="21"/>
      <c r="N289" s="21"/>
      <c r="P289" s="21"/>
    </row>
    <row r="290" ht="15.75" customHeight="1">
      <c r="C290" s="30"/>
      <c r="F290" s="20"/>
      <c r="I290" s="21"/>
      <c r="J290" s="21"/>
      <c r="M290" s="21"/>
      <c r="N290" s="21"/>
      <c r="P290" s="21"/>
    </row>
    <row r="291" ht="15.75" customHeight="1">
      <c r="C291" s="30"/>
      <c r="F291" s="20"/>
      <c r="I291" s="21"/>
      <c r="J291" s="21"/>
      <c r="M291" s="21"/>
      <c r="N291" s="21"/>
      <c r="P291" s="21"/>
    </row>
    <row r="292" ht="15.75" customHeight="1">
      <c r="C292" s="30"/>
      <c r="F292" s="20"/>
      <c r="I292" s="21"/>
      <c r="J292" s="21"/>
      <c r="M292" s="21"/>
      <c r="N292" s="21"/>
      <c r="P292" s="21"/>
    </row>
    <row r="293" ht="15.75" customHeight="1">
      <c r="C293" s="30"/>
      <c r="F293" s="20"/>
      <c r="I293" s="21"/>
      <c r="J293" s="21"/>
      <c r="M293" s="21"/>
      <c r="N293" s="21"/>
      <c r="P293" s="21"/>
    </row>
    <row r="294" ht="15.75" customHeight="1">
      <c r="C294" s="30"/>
      <c r="F294" s="20"/>
      <c r="I294" s="21"/>
      <c r="J294" s="21"/>
      <c r="M294" s="21"/>
      <c r="N294" s="21"/>
      <c r="P294" s="21"/>
    </row>
    <row r="295" ht="15.75" customHeight="1">
      <c r="C295" s="30"/>
      <c r="F295" s="20"/>
      <c r="I295" s="21"/>
      <c r="J295" s="21"/>
      <c r="M295" s="21"/>
      <c r="N295" s="21"/>
      <c r="P295" s="21"/>
    </row>
    <row r="296" ht="15.75" customHeight="1">
      <c r="C296" s="30"/>
      <c r="F296" s="20"/>
      <c r="I296" s="21"/>
      <c r="J296" s="21"/>
      <c r="M296" s="21"/>
      <c r="N296" s="21"/>
      <c r="P296" s="21"/>
    </row>
    <row r="297" ht="15.75" customHeight="1">
      <c r="C297" s="30"/>
      <c r="F297" s="20"/>
      <c r="I297" s="21"/>
      <c r="J297" s="21"/>
      <c r="M297" s="21"/>
      <c r="N297" s="21"/>
      <c r="P297" s="21"/>
    </row>
    <row r="298" ht="15.75" customHeight="1">
      <c r="C298" s="30"/>
      <c r="F298" s="20"/>
      <c r="I298" s="21"/>
      <c r="J298" s="21"/>
      <c r="M298" s="21"/>
      <c r="N298" s="21"/>
      <c r="P298" s="21"/>
    </row>
    <row r="299" ht="15.75" customHeight="1">
      <c r="C299" s="30"/>
      <c r="F299" s="20"/>
      <c r="I299" s="21"/>
      <c r="J299" s="21"/>
      <c r="M299" s="21"/>
      <c r="N299" s="21"/>
      <c r="P299" s="21"/>
    </row>
    <row r="300" ht="15.75" customHeight="1">
      <c r="C300" s="30"/>
      <c r="F300" s="20"/>
      <c r="I300" s="21"/>
      <c r="J300" s="21"/>
      <c r="M300" s="21"/>
      <c r="N300" s="21"/>
      <c r="P300" s="21"/>
    </row>
    <row r="301" ht="15.75" customHeight="1">
      <c r="C301" s="30"/>
      <c r="F301" s="20"/>
      <c r="I301" s="21"/>
      <c r="J301" s="21"/>
      <c r="M301" s="21"/>
      <c r="N301" s="21"/>
      <c r="P301" s="21"/>
    </row>
    <row r="302" ht="15.75" customHeight="1">
      <c r="C302" s="30"/>
      <c r="F302" s="20"/>
      <c r="I302" s="21"/>
      <c r="J302" s="21"/>
      <c r="M302" s="21"/>
      <c r="N302" s="21"/>
      <c r="P302" s="21"/>
    </row>
    <row r="303" ht="15.75" customHeight="1">
      <c r="C303" s="30"/>
      <c r="F303" s="20"/>
      <c r="I303" s="21"/>
      <c r="J303" s="21"/>
      <c r="M303" s="21"/>
      <c r="N303" s="21"/>
      <c r="P303" s="21"/>
    </row>
    <row r="304" ht="15.75" customHeight="1">
      <c r="C304" s="30"/>
      <c r="F304" s="20"/>
      <c r="I304" s="21"/>
      <c r="J304" s="21"/>
      <c r="M304" s="21"/>
      <c r="N304" s="21"/>
      <c r="P304" s="21"/>
    </row>
    <row r="305" ht="15.75" customHeight="1">
      <c r="C305" s="30"/>
      <c r="F305" s="20"/>
      <c r="I305" s="21"/>
      <c r="J305" s="21"/>
      <c r="M305" s="21"/>
      <c r="N305" s="21"/>
      <c r="P305" s="21"/>
    </row>
    <row r="306" ht="15.75" customHeight="1">
      <c r="C306" s="30"/>
      <c r="F306" s="20"/>
      <c r="I306" s="21"/>
      <c r="J306" s="21"/>
      <c r="M306" s="21"/>
      <c r="N306" s="21"/>
      <c r="P306" s="21"/>
    </row>
    <row r="307" ht="15.75" customHeight="1">
      <c r="C307" s="30"/>
      <c r="F307" s="20"/>
      <c r="I307" s="21"/>
      <c r="J307" s="21"/>
      <c r="M307" s="21"/>
      <c r="N307" s="21"/>
      <c r="P307" s="21"/>
    </row>
    <row r="308" ht="15.75" customHeight="1">
      <c r="C308" s="30"/>
      <c r="F308" s="20"/>
      <c r="I308" s="21"/>
      <c r="J308" s="21"/>
      <c r="M308" s="21"/>
      <c r="N308" s="21"/>
      <c r="P308" s="21"/>
    </row>
    <row r="309" ht="15.75" customHeight="1">
      <c r="C309" s="30"/>
      <c r="F309" s="20"/>
      <c r="I309" s="21"/>
      <c r="J309" s="21"/>
      <c r="M309" s="21"/>
      <c r="N309" s="21"/>
      <c r="P309" s="21"/>
    </row>
    <row r="310" ht="15.75" customHeight="1">
      <c r="C310" s="30"/>
      <c r="F310" s="20"/>
      <c r="I310" s="21"/>
      <c r="J310" s="21"/>
      <c r="M310" s="21"/>
      <c r="N310" s="21"/>
      <c r="P310" s="21"/>
    </row>
    <row r="311" ht="15.75" customHeight="1">
      <c r="C311" s="30"/>
      <c r="F311" s="20"/>
      <c r="I311" s="21"/>
      <c r="J311" s="21"/>
      <c r="M311" s="21"/>
      <c r="N311" s="21"/>
      <c r="P311" s="21"/>
    </row>
    <row r="312" ht="15.75" customHeight="1">
      <c r="C312" s="30"/>
      <c r="F312" s="20"/>
      <c r="I312" s="21"/>
      <c r="J312" s="21"/>
      <c r="M312" s="21"/>
      <c r="N312" s="21"/>
      <c r="P312" s="21"/>
    </row>
    <row r="313" ht="15.75" customHeight="1">
      <c r="C313" s="30"/>
      <c r="F313" s="20"/>
      <c r="I313" s="21"/>
      <c r="J313" s="21"/>
      <c r="M313" s="21"/>
      <c r="N313" s="21"/>
      <c r="P313" s="21"/>
    </row>
    <row r="314" ht="15.75" customHeight="1">
      <c r="C314" s="30"/>
      <c r="F314" s="20"/>
      <c r="I314" s="21"/>
      <c r="J314" s="21"/>
      <c r="M314" s="21"/>
      <c r="N314" s="21"/>
      <c r="P314" s="21"/>
    </row>
    <row r="315" ht="15.75" customHeight="1">
      <c r="C315" s="30"/>
      <c r="F315" s="20"/>
      <c r="I315" s="21"/>
      <c r="J315" s="21"/>
      <c r="M315" s="21"/>
      <c r="N315" s="21"/>
      <c r="P315" s="21"/>
    </row>
    <row r="316" ht="15.75" customHeight="1">
      <c r="C316" s="30"/>
      <c r="F316" s="20"/>
      <c r="I316" s="21"/>
      <c r="J316" s="21"/>
      <c r="M316" s="21"/>
      <c r="N316" s="21"/>
      <c r="P316" s="21"/>
    </row>
    <row r="317" ht="15.75" customHeight="1">
      <c r="C317" s="30"/>
      <c r="F317" s="20"/>
      <c r="I317" s="21"/>
      <c r="J317" s="21"/>
      <c r="M317" s="21"/>
      <c r="N317" s="21"/>
      <c r="P317" s="21"/>
    </row>
    <row r="318" ht="15.75" customHeight="1">
      <c r="C318" s="30"/>
      <c r="F318" s="20"/>
      <c r="I318" s="21"/>
      <c r="J318" s="21"/>
      <c r="M318" s="21"/>
      <c r="N318" s="21"/>
      <c r="P318" s="21"/>
    </row>
    <row r="319" ht="15.75" customHeight="1">
      <c r="C319" s="30"/>
      <c r="F319" s="20"/>
      <c r="I319" s="21"/>
      <c r="J319" s="21"/>
      <c r="M319" s="21"/>
      <c r="N319" s="21"/>
      <c r="P319" s="21"/>
    </row>
    <row r="320" ht="15.75" customHeight="1">
      <c r="C320" s="30"/>
      <c r="F320" s="20"/>
      <c r="I320" s="21"/>
      <c r="J320" s="21"/>
      <c r="M320" s="21"/>
      <c r="N320" s="21"/>
      <c r="P320" s="21"/>
    </row>
    <row r="321" ht="15.75" customHeight="1">
      <c r="C321" s="30"/>
      <c r="F321" s="20"/>
      <c r="I321" s="21"/>
      <c r="J321" s="21"/>
      <c r="M321" s="21"/>
      <c r="N321" s="21"/>
      <c r="P321" s="21"/>
    </row>
    <row r="322" ht="15.75" customHeight="1">
      <c r="C322" s="30"/>
      <c r="F322" s="20"/>
      <c r="I322" s="21"/>
      <c r="J322" s="21"/>
      <c r="M322" s="21"/>
      <c r="N322" s="21"/>
      <c r="P322" s="21"/>
    </row>
    <row r="323" ht="15.75" customHeight="1">
      <c r="C323" s="30"/>
      <c r="F323" s="20"/>
      <c r="I323" s="21"/>
      <c r="J323" s="21"/>
      <c r="M323" s="21"/>
      <c r="N323" s="21"/>
      <c r="P323" s="21"/>
    </row>
    <row r="324" ht="15.75" customHeight="1">
      <c r="C324" s="30"/>
      <c r="F324" s="20"/>
      <c r="I324" s="21"/>
      <c r="J324" s="21"/>
      <c r="M324" s="21"/>
      <c r="N324" s="21"/>
      <c r="P324" s="21"/>
    </row>
    <row r="325" ht="15.75" customHeight="1">
      <c r="C325" s="30"/>
      <c r="F325" s="20"/>
      <c r="I325" s="21"/>
      <c r="J325" s="21"/>
      <c r="M325" s="21"/>
      <c r="N325" s="21"/>
      <c r="P325" s="21"/>
    </row>
    <row r="326" ht="15.75" customHeight="1">
      <c r="C326" s="30"/>
      <c r="F326" s="20"/>
      <c r="I326" s="21"/>
      <c r="J326" s="21"/>
      <c r="M326" s="21"/>
      <c r="N326" s="21"/>
      <c r="P326" s="21"/>
    </row>
    <row r="327" ht="15.75" customHeight="1">
      <c r="C327" s="30"/>
      <c r="F327" s="20"/>
      <c r="I327" s="21"/>
      <c r="J327" s="21"/>
      <c r="M327" s="21"/>
      <c r="N327" s="21"/>
      <c r="P327" s="21"/>
    </row>
    <row r="328" ht="15.75" customHeight="1">
      <c r="C328" s="30"/>
      <c r="F328" s="20"/>
      <c r="I328" s="21"/>
      <c r="J328" s="21"/>
      <c r="M328" s="21"/>
      <c r="N328" s="21"/>
      <c r="P328" s="21"/>
    </row>
    <row r="329" ht="15.75" customHeight="1">
      <c r="C329" s="30"/>
      <c r="F329" s="20"/>
      <c r="I329" s="21"/>
      <c r="J329" s="21"/>
      <c r="M329" s="21"/>
      <c r="N329" s="21"/>
      <c r="P329" s="21"/>
    </row>
    <row r="330" ht="15.75" customHeight="1">
      <c r="C330" s="30"/>
      <c r="F330" s="20"/>
      <c r="I330" s="21"/>
      <c r="J330" s="21"/>
      <c r="M330" s="21"/>
      <c r="N330" s="21"/>
      <c r="P330" s="21"/>
    </row>
    <row r="331" ht="15.75" customHeight="1">
      <c r="C331" s="30"/>
      <c r="F331" s="20"/>
      <c r="I331" s="21"/>
      <c r="J331" s="21"/>
      <c r="M331" s="21"/>
      <c r="N331" s="21"/>
      <c r="P331" s="21"/>
    </row>
    <row r="332" ht="15.75" customHeight="1">
      <c r="C332" s="30"/>
      <c r="F332" s="20"/>
      <c r="I332" s="21"/>
      <c r="J332" s="21"/>
      <c r="M332" s="21"/>
      <c r="N332" s="21"/>
      <c r="P332" s="21"/>
    </row>
    <row r="333" ht="15.75" customHeight="1">
      <c r="C333" s="30"/>
      <c r="F333" s="20"/>
      <c r="I333" s="21"/>
      <c r="J333" s="21"/>
      <c r="M333" s="21"/>
      <c r="N333" s="21"/>
      <c r="P333" s="21"/>
    </row>
    <row r="334" ht="15.75" customHeight="1">
      <c r="C334" s="30"/>
      <c r="F334" s="20"/>
      <c r="I334" s="21"/>
      <c r="J334" s="21"/>
      <c r="M334" s="21"/>
      <c r="N334" s="21"/>
      <c r="P334" s="21"/>
    </row>
    <row r="335" ht="15.75" customHeight="1">
      <c r="C335" s="30"/>
      <c r="F335" s="20"/>
      <c r="I335" s="21"/>
      <c r="J335" s="21"/>
      <c r="M335" s="21"/>
      <c r="N335" s="21"/>
      <c r="P335" s="21"/>
    </row>
    <row r="336" ht="15.75" customHeight="1">
      <c r="C336" s="30"/>
      <c r="F336" s="20"/>
      <c r="I336" s="21"/>
      <c r="J336" s="21"/>
      <c r="M336" s="21"/>
      <c r="N336" s="21"/>
      <c r="P336" s="21"/>
    </row>
    <row r="337" ht="15.75" customHeight="1">
      <c r="C337" s="30"/>
      <c r="F337" s="20"/>
      <c r="I337" s="21"/>
      <c r="J337" s="21"/>
      <c r="M337" s="21"/>
      <c r="N337" s="21"/>
      <c r="P337" s="21"/>
    </row>
    <row r="338" ht="15.75" customHeight="1">
      <c r="C338" s="30"/>
      <c r="F338" s="20"/>
      <c r="I338" s="21"/>
      <c r="J338" s="21"/>
      <c r="M338" s="21"/>
      <c r="N338" s="21"/>
      <c r="P338" s="21"/>
    </row>
    <row r="339" ht="15.75" customHeight="1">
      <c r="C339" s="30"/>
      <c r="F339" s="20"/>
      <c r="I339" s="21"/>
      <c r="J339" s="21"/>
      <c r="M339" s="21"/>
      <c r="N339" s="21"/>
      <c r="P339" s="21"/>
    </row>
    <row r="340" ht="15.75" customHeight="1">
      <c r="C340" s="30"/>
      <c r="F340" s="20"/>
      <c r="I340" s="21"/>
      <c r="J340" s="21"/>
      <c r="M340" s="21"/>
      <c r="N340" s="21"/>
      <c r="P340" s="21"/>
    </row>
    <row r="341" ht="15.75" customHeight="1">
      <c r="C341" s="30"/>
      <c r="F341" s="20"/>
      <c r="I341" s="21"/>
      <c r="J341" s="21"/>
      <c r="M341" s="21"/>
      <c r="N341" s="21"/>
      <c r="P341" s="21"/>
    </row>
    <row r="342" ht="15.75" customHeight="1">
      <c r="C342" s="30"/>
      <c r="F342" s="20"/>
      <c r="I342" s="21"/>
      <c r="J342" s="21"/>
      <c r="M342" s="21"/>
      <c r="N342" s="21"/>
      <c r="P342" s="21"/>
    </row>
    <row r="343" ht="15.75" customHeight="1">
      <c r="C343" s="30"/>
      <c r="F343" s="20"/>
      <c r="I343" s="21"/>
      <c r="J343" s="21"/>
      <c r="M343" s="21"/>
      <c r="N343" s="21"/>
      <c r="P343" s="21"/>
    </row>
    <row r="344" ht="15.75" customHeight="1">
      <c r="C344" s="30"/>
      <c r="F344" s="20"/>
      <c r="I344" s="21"/>
      <c r="J344" s="21"/>
      <c r="M344" s="21"/>
      <c r="N344" s="21"/>
      <c r="P344" s="21"/>
    </row>
    <row r="345" ht="15.75" customHeight="1">
      <c r="C345" s="30"/>
      <c r="F345" s="20"/>
      <c r="I345" s="21"/>
      <c r="J345" s="21"/>
      <c r="M345" s="21"/>
      <c r="N345" s="21"/>
      <c r="P345" s="21"/>
    </row>
    <row r="346" ht="15.75" customHeight="1">
      <c r="C346" s="30"/>
      <c r="F346" s="20"/>
      <c r="I346" s="21"/>
      <c r="J346" s="21"/>
      <c r="M346" s="21"/>
      <c r="N346" s="21"/>
      <c r="P346" s="21"/>
    </row>
    <row r="347" ht="15.75" customHeight="1">
      <c r="C347" s="30"/>
      <c r="F347" s="20"/>
      <c r="I347" s="21"/>
      <c r="J347" s="21"/>
      <c r="M347" s="21"/>
      <c r="N347" s="21"/>
      <c r="P347" s="21"/>
    </row>
    <row r="348" ht="15.75" customHeight="1">
      <c r="C348" s="30"/>
      <c r="F348" s="20"/>
      <c r="I348" s="21"/>
      <c r="J348" s="21"/>
      <c r="M348" s="21"/>
      <c r="N348" s="21"/>
      <c r="P348" s="21"/>
    </row>
    <row r="349" ht="15.75" customHeight="1">
      <c r="C349" s="30"/>
      <c r="F349" s="20"/>
      <c r="I349" s="21"/>
      <c r="J349" s="21"/>
      <c r="M349" s="21"/>
      <c r="N349" s="21"/>
      <c r="P349" s="21"/>
    </row>
    <row r="350" ht="15.75" customHeight="1">
      <c r="C350" s="30"/>
      <c r="F350" s="20"/>
      <c r="I350" s="21"/>
      <c r="J350" s="21"/>
      <c r="M350" s="21"/>
      <c r="N350" s="21"/>
      <c r="P350" s="21"/>
    </row>
    <row r="351" ht="15.75" customHeight="1">
      <c r="C351" s="30"/>
      <c r="F351" s="20"/>
      <c r="I351" s="21"/>
      <c r="J351" s="21"/>
      <c r="M351" s="21"/>
      <c r="N351" s="21"/>
      <c r="P351" s="21"/>
    </row>
    <row r="352" ht="15.75" customHeight="1">
      <c r="C352" s="30"/>
      <c r="F352" s="20"/>
      <c r="I352" s="21"/>
      <c r="J352" s="21"/>
      <c r="M352" s="21"/>
      <c r="N352" s="21"/>
      <c r="P352" s="21"/>
    </row>
    <row r="353" ht="15.75" customHeight="1">
      <c r="C353" s="30"/>
      <c r="F353" s="20"/>
      <c r="I353" s="21"/>
      <c r="J353" s="21"/>
      <c r="M353" s="21"/>
      <c r="N353" s="21"/>
      <c r="P353" s="21"/>
    </row>
    <row r="354" ht="15.75" customHeight="1">
      <c r="C354" s="30"/>
      <c r="F354" s="20"/>
      <c r="I354" s="21"/>
      <c r="J354" s="21"/>
      <c r="M354" s="21"/>
      <c r="N354" s="21"/>
      <c r="P354" s="21"/>
    </row>
    <row r="355" ht="15.75" customHeight="1">
      <c r="C355" s="30"/>
      <c r="F355" s="20"/>
      <c r="I355" s="21"/>
      <c r="J355" s="21"/>
      <c r="M355" s="21"/>
      <c r="N355" s="21"/>
      <c r="P355" s="21"/>
    </row>
    <row r="356" ht="15.75" customHeight="1">
      <c r="C356" s="30"/>
      <c r="F356" s="20"/>
      <c r="I356" s="21"/>
      <c r="J356" s="21"/>
      <c r="M356" s="21"/>
      <c r="N356" s="21"/>
      <c r="P356" s="21"/>
    </row>
    <row r="357" ht="15.75" customHeight="1">
      <c r="C357" s="30"/>
      <c r="F357" s="20"/>
      <c r="I357" s="21"/>
      <c r="J357" s="21"/>
      <c r="M357" s="21"/>
      <c r="N357" s="21"/>
      <c r="P357" s="21"/>
    </row>
    <row r="358" ht="15.75" customHeight="1">
      <c r="C358" s="30"/>
      <c r="F358" s="20"/>
      <c r="I358" s="21"/>
      <c r="J358" s="21"/>
      <c r="M358" s="21"/>
      <c r="N358" s="21"/>
      <c r="P358" s="21"/>
    </row>
    <row r="359" ht="15.75" customHeight="1">
      <c r="C359" s="30"/>
      <c r="F359" s="20"/>
      <c r="I359" s="21"/>
      <c r="J359" s="21"/>
      <c r="M359" s="21"/>
      <c r="N359" s="21"/>
      <c r="P359" s="21"/>
    </row>
    <row r="360" ht="15.75" customHeight="1">
      <c r="C360" s="30"/>
      <c r="F360" s="20"/>
      <c r="I360" s="21"/>
      <c r="J360" s="21"/>
      <c r="M360" s="21"/>
      <c r="N360" s="21"/>
      <c r="P360" s="21"/>
    </row>
    <row r="361" ht="15.75" customHeight="1">
      <c r="C361" s="30"/>
      <c r="F361" s="20"/>
      <c r="I361" s="21"/>
      <c r="J361" s="21"/>
      <c r="M361" s="21"/>
      <c r="N361" s="21"/>
      <c r="P361" s="21"/>
    </row>
    <row r="362" ht="15.75" customHeight="1">
      <c r="C362" s="30"/>
      <c r="F362" s="20"/>
      <c r="I362" s="21"/>
      <c r="J362" s="21"/>
      <c r="M362" s="21"/>
      <c r="N362" s="21"/>
      <c r="P362" s="21"/>
    </row>
    <row r="363" ht="15.75" customHeight="1">
      <c r="C363" s="30"/>
      <c r="F363" s="20"/>
      <c r="I363" s="21"/>
      <c r="J363" s="21"/>
      <c r="M363" s="21"/>
      <c r="N363" s="21"/>
      <c r="P363" s="21"/>
    </row>
    <row r="364" ht="15.75" customHeight="1">
      <c r="C364" s="30"/>
      <c r="F364" s="20"/>
      <c r="I364" s="21"/>
      <c r="J364" s="21"/>
      <c r="M364" s="21"/>
      <c r="N364" s="21"/>
      <c r="P364" s="21"/>
    </row>
    <row r="365" ht="15.75" customHeight="1">
      <c r="C365" s="30"/>
      <c r="F365" s="20"/>
      <c r="I365" s="21"/>
      <c r="J365" s="21"/>
      <c r="M365" s="21"/>
      <c r="N365" s="21"/>
      <c r="P365" s="21"/>
    </row>
    <row r="366" ht="15.75" customHeight="1">
      <c r="C366" s="30"/>
      <c r="F366" s="20"/>
      <c r="I366" s="21"/>
      <c r="J366" s="21"/>
      <c r="M366" s="21"/>
      <c r="N366" s="21"/>
      <c r="P366" s="21"/>
    </row>
    <row r="367" ht="15.75" customHeight="1">
      <c r="C367" s="30"/>
      <c r="F367" s="20"/>
      <c r="I367" s="21"/>
      <c r="J367" s="21"/>
      <c r="M367" s="21"/>
      <c r="N367" s="21"/>
      <c r="P367" s="21"/>
    </row>
    <row r="368" ht="15.75" customHeight="1">
      <c r="C368" s="30"/>
      <c r="F368" s="20"/>
      <c r="I368" s="21"/>
      <c r="J368" s="21"/>
      <c r="M368" s="21"/>
      <c r="N368" s="21"/>
      <c r="P368" s="21"/>
    </row>
    <row r="369" ht="15.75" customHeight="1">
      <c r="C369" s="30"/>
      <c r="F369" s="20"/>
      <c r="I369" s="21"/>
      <c r="J369" s="21"/>
      <c r="M369" s="21"/>
      <c r="N369" s="21"/>
      <c r="P369" s="21"/>
    </row>
    <row r="370" ht="15.75" customHeight="1">
      <c r="C370" s="30"/>
      <c r="F370" s="20"/>
      <c r="I370" s="21"/>
      <c r="J370" s="21"/>
      <c r="M370" s="21"/>
      <c r="N370" s="21"/>
      <c r="P370" s="21"/>
    </row>
    <row r="371" ht="15.75" customHeight="1">
      <c r="C371" s="30"/>
      <c r="F371" s="20"/>
      <c r="I371" s="21"/>
      <c r="J371" s="21"/>
      <c r="M371" s="21"/>
      <c r="N371" s="21"/>
      <c r="P371" s="21"/>
    </row>
    <row r="372" ht="15.75" customHeight="1">
      <c r="C372" s="30"/>
      <c r="F372" s="20"/>
      <c r="I372" s="21"/>
      <c r="J372" s="21"/>
      <c r="M372" s="21"/>
      <c r="N372" s="21"/>
      <c r="P372" s="21"/>
    </row>
    <row r="373" ht="15.75" customHeight="1">
      <c r="C373" s="30"/>
      <c r="F373" s="20"/>
      <c r="I373" s="21"/>
      <c r="J373" s="21"/>
      <c r="M373" s="21"/>
      <c r="N373" s="21"/>
      <c r="P373" s="21"/>
    </row>
    <row r="374" ht="15.75" customHeight="1">
      <c r="C374" s="30"/>
      <c r="F374" s="20"/>
      <c r="I374" s="21"/>
      <c r="J374" s="21"/>
      <c r="M374" s="21"/>
      <c r="N374" s="21"/>
      <c r="P374" s="21"/>
    </row>
    <row r="375" ht="15.75" customHeight="1">
      <c r="C375" s="30"/>
      <c r="F375" s="20"/>
      <c r="I375" s="21"/>
      <c r="J375" s="21"/>
      <c r="M375" s="21"/>
      <c r="N375" s="21"/>
      <c r="P375" s="21"/>
    </row>
    <row r="376" ht="15.75" customHeight="1">
      <c r="C376" s="30"/>
      <c r="F376" s="20"/>
      <c r="I376" s="21"/>
      <c r="J376" s="21"/>
      <c r="M376" s="21"/>
      <c r="N376" s="21"/>
      <c r="P376" s="21"/>
    </row>
    <row r="377" ht="15.75" customHeight="1">
      <c r="C377" s="30"/>
      <c r="F377" s="20"/>
      <c r="I377" s="21"/>
      <c r="J377" s="21"/>
      <c r="M377" s="21"/>
      <c r="N377" s="21"/>
      <c r="P377" s="21"/>
    </row>
    <row r="378" ht="15.75" customHeight="1">
      <c r="C378" s="30"/>
      <c r="F378" s="20"/>
      <c r="I378" s="21"/>
      <c r="J378" s="21"/>
      <c r="M378" s="21"/>
      <c r="N378" s="21"/>
      <c r="P378" s="21"/>
    </row>
    <row r="379" ht="15.75" customHeight="1">
      <c r="C379" s="30"/>
      <c r="F379" s="20"/>
      <c r="I379" s="21"/>
      <c r="J379" s="21"/>
      <c r="M379" s="21"/>
      <c r="N379" s="21"/>
      <c r="P379" s="21"/>
    </row>
    <row r="380" ht="15.75" customHeight="1">
      <c r="C380" s="30"/>
      <c r="F380" s="20"/>
      <c r="I380" s="21"/>
      <c r="J380" s="21"/>
      <c r="M380" s="21"/>
      <c r="N380" s="21"/>
      <c r="P380" s="21"/>
    </row>
    <row r="381" ht="15.75" customHeight="1">
      <c r="C381" s="30"/>
      <c r="F381" s="20"/>
      <c r="I381" s="21"/>
      <c r="J381" s="21"/>
      <c r="M381" s="21"/>
      <c r="N381" s="21"/>
      <c r="P381" s="21"/>
    </row>
    <row r="382" ht="15.75" customHeight="1">
      <c r="C382" s="30"/>
      <c r="F382" s="20"/>
      <c r="I382" s="21"/>
      <c r="J382" s="21"/>
      <c r="M382" s="21"/>
      <c r="N382" s="21"/>
      <c r="P382" s="21"/>
    </row>
    <row r="383" ht="15.75" customHeight="1">
      <c r="C383" s="30"/>
      <c r="F383" s="20"/>
      <c r="I383" s="21"/>
      <c r="J383" s="21"/>
      <c r="M383" s="21"/>
      <c r="N383" s="21"/>
      <c r="P383" s="21"/>
    </row>
    <row r="384" ht="15.75" customHeight="1">
      <c r="C384" s="30"/>
      <c r="F384" s="20"/>
      <c r="I384" s="21"/>
      <c r="J384" s="21"/>
      <c r="M384" s="21"/>
      <c r="N384" s="21"/>
      <c r="P384" s="21"/>
    </row>
    <row r="385" ht="15.75" customHeight="1">
      <c r="C385" s="30"/>
      <c r="F385" s="20"/>
      <c r="I385" s="21"/>
      <c r="J385" s="21"/>
      <c r="M385" s="21"/>
      <c r="N385" s="21"/>
      <c r="P385" s="21"/>
    </row>
    <row r="386" ht="15.75" customHeight="1">
      <c r="C386" s="30"/>
      <c r="F386" s="20"/>
      <c r="I386" s="21"/>
      <c r="J386" s="21"/>
      <c r="M386" s="21"/>
      <c r="N386" s="21"/>
      <c r="P386" s="21"/>
    </row>
    <row r="387" ht="15.75" customHeight="1">
      <c r="C387" s="30"/>
      <c r="F387" s="20"/>
      <c r="I387" s="21"/>
      <c r="J387" s="21"/>
      <c r="M387" s="21"/>
      <c r="N387" s="21"/>
      <c r="P387" s="21"/>
    </row>
    <row r="388" ht="15.75" customHeight="1">
      <c r="C388" s="30"/>
      <c r="F388" s="20"/>
      <c r="I388" s="21"/>
      <c r="J388" s="21"/>
      <c r="M388" s="21"/>
      <c r="N388" s="21"/>
      <c r="P388" s="21"/>
    </row>
    <row r="389" ht="15.75" customHeight="1">
      <c r="C389" s="30"/>
      <c r="F389" s="20"/>
      <c r="I389" s="21"/>
      <c r="J389" s="21"/>
      <c r="M389" s="21"/>
      <c r="N389" s="21"/>
      <c r="P389" s="21"/>
    </row>
    <row r="390" ht="15.75" customHeight="1">
      <c r="C390" s="30"/>
      <c r="F390" s="20"/>
      <c r="I390" s="21"/>
      <c r="J390" s="21"/>
      <c r="M390" s="21"/>
      <c r="N390" s="21"/>
      <c r="P390" s="21"/>
    </row>
    <row r="391" ht="15.75" customHeight="1">
      <c r="C391" s="30"/>
      <c r="F391" s="20"/>
      <c r="I391" s="21"/>
      <c r="J391" s="21"/>
      <c r="M391" s="21"/>
      <c r="N391" s="21"/>
      <c r="P391" s="21"/>
    </row>
    <row r="392" ht="15.75" customHeight="1">
      <c r="C392" s="30"/>
      <c r="F392" s="20"/>
      <c r="I392" s="21"/>
      <c r="J392" s="21"/>
      <c r="M392" s="21"/>
      <c r="N392" s="21"/>
      <c r="P392" s="21"/>
    </row>
    <row r="393" ht="15.75" customHeight="1">
      <c r="C393" s="30"/>
      <c r="F393" s="20"/>
      <c r="I393" s="21"/>
      <c r="J393" s="21"/>
      <c r="M393" s="21"/>
      <c r="N393" s="21"/>
      <c r="P393" s="21"/>
    </row>
    <row r="394" ht="15.75" customHeight="1">
      <c r="C394" s="30"/>
      <c r="F394" s="20"/>
      <c r="I394" s="21"/>
      <c r="J394" s="21"/>
      <c r="M394" s="21"/>
      <c r="N394" s="21"/>
      <c r="P394" s="21"/>
    </row>
    <row r="395" ht="15.75" customHeight="1">
      <c r="C395" s="30"/>
      <c r="F395" s="20"/>
      <c r="I395" s="21"/>
      <c r="J395" s="21"/>
      <c r="M395" s="21"/>
      <c r="N395" s="21"/>
      <c r="P395" s="21"/>
    </row>
    <row r="396" ht="15.75" customHeight="1">
      <c r="C396" s="30"/>
      <c r="F396" s="20"/>
      <c r="I396" s="21"/>
      <c r="J396" s="21"/>
      <c r="M396" s="21"/>
      <c r="N396" s="21"/>
      <c r="P396" s="21"/>
    </row>
    <row r="397" ht="15.75" customHeight="1">
      <c r="C397" s="30"/>
      <c r="F397" s="20"/>
      <c r="I397" s="21"/>
      <c r="J397" s="21"/>
      <c r="M397" s="21"/>
      <c r="N397" s="21"/>
      <c r="P397" s="21"/>
    </row>
    <row r="398" ht="15.75" customHeight="1">
      <c r="C398" s="30"/>
      <c r="F398" s="20"/>
      <c r="I398" s="21"/>
      <c r="J398" s="21"/>
      <c r="M398" s="21"/>
      <c r="N398" s="21"/>
      <c r="P398" s="21"/>
    </row>
    <row r="399" ht="15.75" customHeight="1">
      <c r="C399" s="30"/>
      <c r="F399" s="20"/>
      <c r="I399" s="21"/>
      <c r="J399" s="21"/>
      <c r="M399" s="21"/>
      <c r="N399" s="21"/>
      <c r="P399" s="21"/>
    </row>
    <row r="400" ht="15.75" customHeight="1">
      <c r="C400" s="30"/>
      <c r="F400" s="20"/>
      <c r="I400" s="21"/>
      <c r="J400" s="21"/>
      <c r="M400" s="21"/>
      <c r="N400" s="21"/>
      <c r="P400" s="21"/>
    </row>
    <row r="401" ht="15.75" customHeight="1">
      <c r="C401" s="30"/>
      <c r="F401" s="20"/>
      <c r="I401" s="21"/>
      <c r="J401" s="21"/>
      <c r="M401" s="21"/>
      <c r="N401" s="21"/>
      <c r="P401" s="21"/>
    </row>
    <row r="402" ht="15.75" customHeight="1">
      <c r="C402" s="30"/>
      <c r="F402" s="20"/>
      <c r="I402" s="21"/>
      <c r="J402" s="21"/>
      <c r="M402" s="21"/>
      <c r="N402" s="21"/>
      <c r="P402" s="21"/>
    </row>
    <row r="403" ht="15.75" customHeight="1">
      <c r="C403" s="30"/>
      <c r="F403" s="20"/>
      <c r="I403" s="21"/>
      <c r="J403" s="21"/>
      <c r="M403" s="21"/>
      <c r="N403" s="21"/>
      <c r="P403" s="21"/>
    </row>
    <row r="404" ht="15.75" customHeight="1">
      <c r="C404" s="30"/>
      <c r="F404" s="20"/>
      <c r="I404" s="21"/>
      <c r="J404" s="21"/>
      <c r="M404" s="21"/>
      <c r="N404" s="21"/>
      <c r="P404" s="21"/>
    </row>
    <row r="405" ht="15.75" customHeight="1">
      <c r="C405" s="30"/>
      <c r="F405" s="20"/>
      <c r="I405" s="21"/>
      <c r="J405" s="21"/>
      <c r="M405" s="21"/>
      <c r="N405" s="21"/>
      <c r="P405" s="21"/>
    </row>
    <row r="406" ht="15.75" customHeight="1">
      <c r="C406" s="30"/>
      <c r="F406" s="20"/>
      <c r="I406" s="21"/>
      <c r="J406" s="21"/>
      <c r="M406" s="21"/>
      <c r="N406" s="21"/>
      <c r="P406" s="21"/>
    </row>
    <row r="407" ht="15.75" customHeight="1">
      <c r="C407" s="30"/>
      <c r="F407" s="20"/>
      <c r="I407" s="21"/>
      <c r="J407" s="21"/>
      <c r="M407" s="21"/>
      <c r="N407" s="21"/>
      <c r="P407" s="21"/>
    </row>
    <row r="408" ht="15.75" customHeight="1">
      <c r="C408" s="30"/>
      <c r="F408" s="20"/>
      <c r="I408" s="21"/>
      <c r="J408" s="21"/>
      <c r="M408" s="21"/>
      <c r="N408" s="21"/>
      <c r="P408" s="21"/>
    </row>
    <row r="409" ht="15.75" customHeight="1">
      <c r="C409" s="30"/>
      <c r="F409" s="20"/>
      <c r="I409" s="21"/>
      <c r="J409" s="21"/>
      <c r="M409" s="21"/>
      <c r="N409" s="21"/>
      <c r="P409" s="21"/>
    </row>
    <row r="410" ht="15.75" customHeight="1">
      <c r="C410" s="30"/>
      <c r="F410" s="20"/>
      <c r="I410" s="21"/>
      <c r="J410" s="21"/>
      <c r="M410" s="21"/>
      <c r="N410" s="21"/>
      <c r="P410" s="21"/>
    </row>
    <row r="411" ht="15.75" customHeight="1">
      <c r="C411" s="30"/>
      <c r="F411" s="20"/>
      <c r="I411" s="21"/>
      <c r="J411" s="21"/>
      <c r="M411" s="21"/>
      <c r="N411" s="21"/>
      <c r="P411" s="21"/>
    </row>
    <row r="412" ht="15.75" customHeight="1">
      <c r="C412" s="30"/>
      <c r="F412" s="20"/>
      <c r="I412" s="21"/>
      <c r="J412" s="21"/>
      <c r="M412" s="21"/>
      <c r="N412" s="21"/>
      <c r="P412" s="21"/>
    </row>
    <row r="413" ht="15.75" customHeight="1">
      <c r="C413" s="30"/>
      <c r="F413" s="20"/>
      <c r="I413" s="21"/>
      <c r="J413" s="21"/>
      <c r="M413" s="21"/>
      <c r="N413" s="21"/>
      <c r="P413" s="21"/>
    </row>
    <row r="414" ht="15.75" customHeight="1">
      <c r="C414" s="30"/>
      <c r="F414" s="20"/>
      <c r="I414" s="21"/>
      <c r="J414" s="21"/>
      <c r="M414" s="21"/>
      <c r="N414" s="21"/>
      <c r="P414" s="21"/>
    </row>
    <row r="415" ht="15.75" customHeight="1">
      <c r="C415" s="30"/>
      <c r="F415" s="20"/>
      <c r="I415" s="21"/>
      <c r="J415" s="21"/>
      <c r="M415" s="21"/>
      <c r="N415" s="21"/>
      <c r="P415" s="21"/>
    </row>
    <row r="416" ht="15.75" customHeight="1">
      <c r="C416" s="30"/>
      <c r="F416" s="20"/>
      <c r="I416" s="21"/>
      <c r="J416" s="21"/>
      <c r="M416" s="21"/>
      <c r="N416" s="21"/>
      <c r="P416" s="21"/>
    </row>
    <row r="417" ht="15.75" customHeight="1">
      <c r="C417" s="30"/>
      <c r="F417" s="20"/>
      <c r="I417" s="21"/>
      <c r="J417" s="21"/>
      <c r="M417" s="21"/>
      <c r="N417" s="21"/>
      <c r="P417" s="21"/>
    </row>
    <row r="418" ht="15.75" customHeight="1">
      <c r="C418" s="30"/>
      <c r="F418" s="20"/>
      <c r="I418" s="21"/>
      <c r="J418" s="21"/>
      <c r="M418" s="21"/>
      <c r="N418" s="21"/>
      <c r="P418" s="21"/>
    </row>
    <row r="419" ht="15.75" customHeight="1">
      <c r="C419" s="30"/>
      <c r="F419" s="20"/>
      <c r="I419" s="21"/>
      <c r="J419" s="21"/>
      <c r="M419" s="21"/>
      <c r="N419" s="21"/>
      <c r="P419" s="21"/>
    </row>
    <row r="420" ht="15.75" customHeight="1">
      <c r="C420" s="30"/>
      <c r="F420" s="20"/>
      <c r="I420" s="21"/>
      <c r="J420" s="21"/>
      <c r="M420" s="21"/>
      <c r="N420" s="21"/>
      <c r="P420" s="21"/>
    </row>
    <row r="421" ht="15.75" customHeight="1">
      <c r="C421" s="30"/>
      <c r="F421" s="20"/>
      <c r="I421" s="21"/>
      <c r="J421" s="21"/>
      <c r="M421" s="21"/>
      <c r="N421" s="21"/>
      <c r="P421" s="21"/>
    </row>
    <row r="422" ht="15.75" customHeight="1">
      <c r="C422" s="30"/>
      <c r="F422" s="20"/>
      <c r="I422" s="21"/>
      <c r="J422" s="21"/>
      <c r="M422" s="21"/>
      <c r="N422" s="21"/>
      <c r="P422" s="21"/>
    </row>
    <row r="423" ht="15.75" customHeight="1">
      <c r="C423" s="30"/>
      <c r="F423" s="20"/>
      <c r="I423" s="21"/>
      <c r="J423" s="21"/>
      <c r="M423" s="21"/>
      <c r="N423" s="21"/>
      <c r="P423" s="21"/>
    </row>
    <row r="424" ht="15.75" customHeight="1">
      <c r="C424" s="30"/>
      <c r="F424" s="20"/>
      <c r="I424" s="21"/>
      <c r="J424" s="21"/>
      <c r="M424" s="21"/>
      <c r="N424" s="21"/>
      <c r="P424" s="21"/>
    </row>
    <row r="425" ht="15.75" customHeight="1">
      <c r="C425" s="30"/>
      <c r="F425" s="20"/>
      <c r="I425" s="21"/>
      <c r="J425" s="21"/>
      <c r="M425" s="21"/>
      <c r="N425" s="21"/>
      <c r="P425" s="21"/>
    </row>
    <row r="426" ht="15.75" customHeight="1">
      <c r="C426" s="30"/>
      <c r="F426" s="20"/>
      <c r="I426" s="21"/>
      <c r="J426" s="21"/>
      <c r="M426" s="21"/>
      <c r="N426" s="21"/>
      <c r="P426" s="21"/>
    </row>
    <row r="427" ht="15.75" customHeight="1">
      <c r="C427" s="30"/>
      <c r="F427" s="20"/>
      <c r="I427" s="21"/>
      <c r="J427" s="21"/>
      <c r="M427" s="21"/>
      <c r="N427" s="21"/>
      <c r="P427" s="21"/>
    </row>
    <row r="428" ht="15.75" customHeight="1">
      <c r="C428" s="30"/>
      <c r="F428" s="20"/>
      <c r="I428" s="21"/>
      <c r="J428" s="21"/>
      <c r="M428" s="21"/>
      <c r="N428" s="21"/>
      <c r="P428" s="21"/>
    </row>
    <row r="429" ht="15.75" customHeight="1">
      <c r="C429" s="30"/>
      <c r="F429" s="20"/>
      <c r="I429" s="21"/>
      <c r="J429" s="21"/>
      <c r="M429" s="21"/>
      <c r="N429" s="21"/>
      <c r="P429" s="21"/>
    </row>
    <row r="430" ht="15.75" customHeight="1">
      <c r="C430" s="30"/>
      <c r="F430" s="20"/>
      <c r="I430" s="21"/>
      <c r="J430" s="21"/>
      <c r="M430" s="21"/>
      <c r="N430" s="21"/>
      <c r="P430" s="21"/>
    </row>
    <row r="431" ht="15.75" customHeight="1">
      <c r="C431" s="30"/>
      <c r="F431" s="20"/>
      <c r="I431" s="21"/>
      <c r="J431" s="21"/>
      <c r="M431" s="21"/>
      <c r="N431" s="21"/>
      <c r="P431" s="21"/>
    </row>
    <row r="432" ht="15.75" customHeight="1">
      <c r="C432" s="30"/>
      <c r="F432" s="20"/>
      <c r="I432" s="21"/>
      <c r="J432" s="21"/>
      <c r="M432" s="21"/>
      <c r="N432" s="21"/>
      <c r="P432" s="21"/>
    </row>
    <row r="433" ht="15.75" customHeight="1">
      <c r="C433" s="30"/>
      <c r="F433" s="20"/>
      <c r="I433" s="21"/>
      <c r="J433" s="21"/>
      <c r="M433" s="21"/>
      <c r="N433" s="21"/>
      <c r="P433" s="21"/>
    </row>
    <row r="434" ht="15.75" customHeight="1">
      <c r="C434" s="30"/>
      <c r="F434" s="20"/>
      <c r="I434" s="21"/>
      <c r="J434" s="21"/>
      <c r="M434" s="21"/>
      <c r="N434" s="21"/>
      <c r="P434" s="21"/>
    </row>
    <row r="435" ht="15.75" customHeight="1">
      <c r="C435" s="30"/>
      <c r="F435" s="20"/>
      <c r="I435" s="21"/>
      <c r="J435" s="21"/>
      <c r="M435" s="21"/>
      <c r="N435" s="21"/>
      <c r="P435" s="21"/>
    </row>
    <row r="436" ht="15.75" customHeight="1">
      <c r="C436" s="30"/>
      <c r="F436" s="20"/>
      <c r="I436" s="21"/>
      <c r="J436" s="21"/>
      <c r="M436" s="21"/>
      <c r="N436" s="21"/>
      <c r="P436" s="21"/>
    </row>
    <row r="437" ht="15.75" customHeight="1">
      <c r="C437" s="30"/>
      <c r="F437" s="20"/>
      <c r="I437" s="21"/>
      <c r="J437" s="21"/>
      <c r="M437" s="21"/>
      <c r="N437" s="21"/>
      <c r="P437" s="21"/>
    </row>
    <row r="438" ht="15.75" customHeight="1">
      <c r="C438" s="30"/>
      <c r="F438" s="20"/>
      <c r="I438" s="21"/>
      <c r="J438" s="21"/>
      <c r="M438" s="21"/>
      <c r="N438" s="21"/>
      <c r="P438" s="21"/>
    </row>
    <row r="439" ht="15.75" customHeight="1">
      <c r="C439" s="30"/>
      <c r="F439" s="20"/>
      <c r="I439" s="21"/>
      <c r="J439" s="21"/>
      <c r="M439" s="21"/>
      <c r="N439" s="21"/>
      <c r="P439" s="21"/>
    </row>
    <row r="440" ht="15.75" customHeight="1">
      <c r="C440" s="30"/>
      <c r="F440" s="20"/>
      <c r="I440" s="21"/>
      <c r="J440" s="21"/>
      <c r="M440" s="21"/>
      <c r="N440" s="21"/>
      <c r="P440" s="21"/>
    </row>
    <row r="441" ht="15.75" customHeight="1">
      <c r="C441" s="30"/>
      <c r="F441" s="20"/>
      <c r="I441" s="21"/>
      <c r="J441" s="21"/>
      <c r="M441" s="21"/>
      <c r="N441" s="21"/>
      <c r="P441" s="21"/>
    </row>
    <row r="442" ht="15.75" customHeight="1">
      <c r="C442" s="30"/>
      <c r="F442" s="20"/>
      <c r="I442" s="21"/>
      <c r="J442" s="21"/>
      <c r="M442" s="21"/>
      <c r="N442" s="21"/>
      <c r="P442" s="21"/>
    </row>
    <row r="443" ht="15.75" customHeight="1">
      <c r="C443" s="30"/>
      <c r="F443" s="20"/>
      <c r="I443" s="21"/>
      <c r="J443" s="21"/>
      <c r="M443" s="21"/>
      <c r="N443" s="21"/>
      <c r="P443" s="21"/>
    </row>
    <row r="444" ht="15.75" customHeight="1">
      <c r="C444" s="30"/>
      <c r="F444" s="20"/>
      <c r="I444" s="21"/>
      <c r="J444" s="21"/>
      <c r="M444" s="21"/>
      <c r="N444" s="21"/>
      <c r="P444" s="21"/>
    </row>
    <row r="445" ht="15.75" customHeight="1">
      <c r="C445" s="30"/>
      <c r="F445" s="20"/>
      <c r="I445" s="21"/>
      <c r="J445" s="21"/>
      <c r="M445" s="21"/>
      <c r="N445" s="21"/>
      <c r="P445" s="21"/>
    </row>
    <row r="446" ht="15.75" customHeight="1">
      <c r="C446" s="30"/>
      <c r="F446" s="20"/>
      <c r="I446" s="21"/>
      <c r="J446" s="21"/>
      <c r="M446" s="21"/>
      <c r="N446" s="21"/>
      <c r="P446" s="21"/>
    </row>
    <row r="447" ht="15.75" customHeight="1">
      <c r="C447" s="30"/>
      <c r="F447" s="20"/>
      <c r="I447" s="21"/>
      <c r="J447" s="21"/>
      <c r="M447" s="21"/>
      <c r="N447" s="21"/>
      <c r="P447" s="21"/>
    </row>
    <row r="448" ht="15.75" customHeight="1">
      <c r="C448" s="30"/>
      <c r="F448" s="20"/>
      <c r="I448" s="21"/>
      <c r="J448" s="21"/>
      <c r="M448" s="21"/>
      <c r="N448" s="21"/>
      <c r="P448" s="21"/>
    </row>
    <row r="449" ht="15.75" customHeight="1">
      <c r="C449" s="30"/>
      <c r="F449" s="20"/>
      <c r="I449" s="21"/>
      <c r="J449" s="21"/>
      <c r="M449" s="21"/>
      <c r="N449" s="21"/>
      <c r="P449" s="21"/>
    </row>
    <row r="450" ht="15.75" customHeight="1">
      <c r="C450" s="30"/>
      <c r="F450" s="20"/>
      <c r="I450" s="21"/>
      <c r="J450" s="21"/>
      <c r="M450" s="21"/>
      <c r="N450" s="21"/>
      <c r="P450" s="21"/>
    </row>
    <row r="451" ht="15.75" customHeight="1">
      <c r="C451" s="30"/>
      <c r="F451" s="20"/>
      <c r="I451" s="21"/>
      <c r="J451" s="21"/>
      <c r="M451" s="21"/>
      <c r="N451" s="21"/>
      <c r="P451" s="21"/>
    </row>
    <row r="452" ht="15.75" customHeight="1">
      <c r="C452" s="30"/>
      <c r="F452" s="20"/>
      <c r="I452" s="21"/>
      <c r="J452" s="21"/>
      <c r="M452" s="21"/>
      <c r="N452" s="21"/>
      <c r="P452" s="21"/>
    </row>
    <row r="453" ht="15.75" customHeight="1">
      <c r="C453" s="30"/>
      <c r="F453" s="20"/>
      <c r="I453" s="21"/>
      <c r="J453" s="21"/>
      <c r="M453" s="21"/>
      <c r="N453" s="21"/>
      <c r="P453" s="21"/>
    </row>
    <row r="454" ht="15.75" customHeight="1">
      <c r="C454" s="30"/>
      <c r="F454" s="20"/>
      <c r="I454" s="21"/>
      <c r="J454" s="21"/>
      <c r="M454" s="21"/>
      <c r="N454" s="21"/>
      <c r="P454" s="21"/>
    </row>
    <row r="455" ht="15.75" customHeight="1">
      <c r="C455" s="30"/>
      <c r="F455" s="20"/>
      <c r="I455" s="21"/>
      <c r="J455" s="21"/>
      <c r="M455" s="21"/>
      <c r="N455" s="21"/>
      <c r="P455" s="21"/>
    </row>
    <row r="456" ht="15.75" customHeight="1">
      <c r="C456" s="30"/>
      <c r="F456" s="20"/>
      <c r="I456" s="21"/>
      <c r="J456" s="21"/>
      <c r="M456" s="21"/>
      <c r="N456" s="21"/>
      <c r="P456" s="21"/>
    </row>
    <row r="457" ht="15.75" customHeight="1">
      <c r="C457" s="30"/>
      <c r="F457" s="20"/>
      <c r="I457" s="21"/>
      <c r="J457" s="21"/>
      <c r="M457" s="21"/>
      <c r="N457" s="21"/>
      <c r="P457" s="21"/>
    </row>
    <row r="458" ht="15.75" customHeight="1">
      <c r="C458" s="30"/>
      <c r="I458" s="30"/>
      <c r="J458" s="30"/>
      <c r="M458" s="30"/>
      <c r="N458" s="30"/>
      <c r="P458" s="30"/>
    </row>
    <row r="459" ht="15.75" customHeight="1">
      <c r="C459" s="30"/>
      <c r="I459" s="30"/>
      <c r="J459" s="30"/>
      <c r="M459" s="30"/>
      <c r="N459" s="30"/>
      <c r="P459" s="30"/>
    </row>
    <row r="460" ht="15.75" customHeight="1">
      <c r="C460" s="30"/>
      <c r="I460" s="30"/>
      <c r="J460" s="30"/>
      <c r="M460" s="30"/>
      <c r="N460" s="30"/>
      <c r="P460" s="30"/>
    </row>
    <row r="461" ht="15.75" customHeight="1">
      <c r="C461" s="30"/>
      <c r="I461" s="30"/>
      <c r="J461" s="30"/>
      <c r="M461" s="30"/>
      <c r="N461" s="30"/>
      <c r="P461" s="30"/>
    </row>
    <row r="462" ht="15.75" customHeight="1">
      <c r="C462" s="30"/>
      <c r="I462" s="30"/>
      <c r="J462" s="30"/>
      <c r="M462" s="30"/>
      <c r="N462" s="30"/>
      <c r="P462" s="30"/>
    </row>
    <row r="463" ht="15.75" customHeight="1">
      <c r="C463" s="30"/>
      <c r="I463" s="30"/>
      <c r="J463" s="30"/>
      <c r="M463" s="30"/>
      <c r="N463" s="30"/>
      <c r="P463" s="30"/>
    </row>
    <row r="464" ht="15.75" customHeight="1">
      <c r="C464" s="30"/>
      <c r="I464" s="30"/>
      <c r="J464" s="30"/>
      <c r="M464" s="30"/>
      <c r="N464" s="30"/>
      <c r="P464" s="30"/>
    </row>
    <row r="465" ht="15.75" customHeight="1">
      <c r="C465" s="30"/>
      <c r="I465" s="30"/>
      <c r="J465" s="30"/>
      <c r="M465" s="30"/>
      <c r="N465" s="30"/>
      <c r="P465" s="30"/>
    </row>
    <row r="466" ht="15.75" customHeight="1">
      <c r="C466" s="30"/>
      <c r="I466" s="30"/>
      <c r="J466" s="30"/>
      <c r="M466" s="30"/>
      <c r="N466" s="30"/>
      <c r="P466" s="30"/>
    </row>
    <row r="467" ht="15.75" customHeight="1">
      <c r="C467" s="30"/>
      <c r="I467" s="30"/>
      <c r="J467" s="30"/>
      <c r="M467" s="30"/>
      <c r="N467" s="30"/>
      <c r="P467" s="30"/>
    </row>
    <row r="468" ht="15.75" customHeight="1">
      <c r="C468" s="30"/>
      <c r="I468" s="30"/>
      <c r="J468" s="30"/>
      <c r="M468" s="30"/>
      <c r="N468" s="30"/>
      <c r="P468" s="30"/>
    </row>
    <row r="469" ht="15.75" customHeight="1">
      <c r="C469" s="30"/>
      <c r="I469" s="30"/>
      <c r="J469" s="30"/>
      <c r="M469" s="30"/>
      <c r="N469" s="30"/>
      <c r="P469" s="30"/>
    </row>
    <row r="470" ht="15.75" customHeight="1">
      <c r="C470" s="30"/>
      <c r="I470" s="30"/>
      <c r="J470" s="30"/>
      <c r="M470" s="30"/>
      <c r="N470" s="30"/>
      <c r="P470" s="30"/>
    </row>
    <row r="471" ht="15.75" customHeight="1">
      <c r="C471" s="30"/>
      <c r="I471" s="30"/>
      <c r="J471" s="30"/>
      <c r="M471" s="30"/>
      <c r="N471" s="30"/>
      <c r="P471" s="30"/>
    </row>
    <row r="472" ht="15.75" customHeight="1">
      <c r="C472" s="30"/>
      <c r="I472" s="30"/>
      <c r="J472" s="30"/>
      <c r="M472" s="30"/>
      <c r="N472" s="30"/>
      <c r="P472" s="30"/>
    </row>
    <row r="473" ht="15.75" customHeight="1">
      <c r="C473" s="30"/>
      <c r="I473" s="30"/>
      <c r="J473" s="30"/>
      <c r="M473" s="30"/>
      <c r="N473" s="30"/>
      <c r="P473" s="30"/>
    </row>
    <row r="474" ht="15.75" customHeight="1">
      <c r="C474" s="30"/>
      <c r="I474" s="30"/>
      <c r="J474" s="30"/>
      <c r="M474" s="30"/>
      <c r="N474" s="30"/>
      <c r="P474" s="30"/>
    </row>
    <row r="475" ht="15.75" customHeight="1">
      <c r="C475" s="30"/>
      <c r="I475" s="30"/>
      <c r="J475" s="30"/>
      <c r="M475" s="30"/>
      <c r="N475" s="30"/>
      <c r="P475" s="30"/>
    </row>
    <row r="476" ht="15.75" customHeight="1">
      <c r="C476" s="30"/>
      <c r="I476" s="30"/>
      <c r="J476" s="30"/>
      <c r="M476" s="30"/>
      <c r="N476" s="30"/>
      <c r="P476" s="30"/>
    </row>
    <row r="477" ht="15.75" customHeight="1">
      <c r="C477" s="30"/>
      <c r="I477" s="30"/>
      <c r="J477" s="30"/>
      <c r="M477" s="30"/>
      <c r="N477" s="30"/>
      <c r="P477" s="30"/>
    </row>
    <row r="478" ht="15.75" customHeight="1">
      <c r="C478" s="30"/>
      <c r="I478" s="30"/>
      <c r="J478" s="30"/>
      <c r="M478" s="30"/>
      <c r="N478" s="30"/>
      <c r="P478" s="30"/>
    </row>
    <row r="479" ht="15.75" customHeight="1">
      <c r="C479" s="30"/>
      <c r="I479" s="30"/>
      <c r="J479" s="30"/>
      <c r="M479" s="30"/>
      <c r="N479" s="30"/>
      <c r="P479" s="30"/>
    </row>
    <row r="480" ht="15.75" customHeight="1">
      <c r="C480" s="30"/>
      <c r="I480" s="30"/>
      <c r="J480" s="30"/>
      <c r="M480" s="30"/>
      <c r="N480" s="30"/>
      <c r="P480" s="30"/>
    </row>
    <row r="481" ht="15.75" customHeight="1">
      <c r="C481" s="30"/>
      <c r="I481" s="30"/>
      <c r="J481" s="30"/>
      <c r="M481" s="30"/>
      <c r="N481" s="30"/>
      <c r="P481" s="30"/>
    </row>
    <row r="482" ht="15.75" customHeight="1">
      <c r="C482" s="30"/>
      <c r="I482" s="30"/>
      <c r="J482" s="30"/>
      <c r="M482" s="30"/>
      <c r="N482" s="30"/>
      <c r="P482" s="30"/>
    </row>
    <row r="483" ht="15.75" customHeight="1">
      <c r="C483" s="30"/>
      <c r="I483" s="30"/>
      <c r="J483" s="30"/>
      <c r="M483" s="30"/>
      <c r="N483" s="30"/>
      <c r="P483" s="30"/>
    </row>
    <row r="484" ht="15.75" customHeight="1">
      <c r="C484" s="30"/>
      <c r="I484" s="30"/>
      <c r="J484" s="30"/>
      <c r="M484" s="30"/>
      <c r="N484" s="30"/>
      <c r="P484" s="30"/>
    </row>
    <row r="485" ht="15.75" customHeight="1">
      <c r="C485" s="30"/>
      <c r="I485" s="30"/>
      <c r="J485" s="30"/>
      <c r="M485" s="30"/>
      <c r="N485" s="30"/>
      <c r="P485" s="30"/>
    </row>
    <row r="486" ht="15.75" customHeight="1">
      <c r="C486" s="30"/>
      <c r="I486" s="30"/>
      <c r="J486" s="30"/>
      <c r="M486" s="30"/>
      <c r="N486" s="30"/>
      <c r="P486" s="30"/>
    </row>
    <row r="487" ht="15.75" customHeight="1">
      <c r="C487" s="30"/>
      <c r="I487" s="30"/>
      <c r="J487" s="30"/>
      <c r="M487" s="30"/>
      <c r="N487" s="30"/>
      <c r="P487" s="30"/>
    </row>
    <row r="488" ht="15.75" customHeight="1">
      <c r="C488" s="30"/>
      <c r="I488" s="30"/>
      <c r="J488" s="30"/>
      <c r="M488" s="30"/>
      <c r="N488" s="30"/>
      <c r="P488" s="30"/>
    </row>
    <row r="489" ht="15.75" customHeight="1">
      <c r="C489" s="30"/>
      <c r="I489" s="30"/>
      <c r="J489" s="30"/>
      <c r="M489" s="30"/>
      <c r="N489" s="30"/>
      <c r="P489" s="30"/>
    </row>
    <row r="490" ht="15.75" customHeight="1">
      <c r="C490" s="30"/>
      <c r="I490" s="30"/>
      <c r="J490" s="30"/>
      <c r="M490" s="30"/>
      <c r="N490" s="30"/>
      <c r="P490" s="30"/>
    </row>
    <row r="491" ht="15.75" customHeight="1">
      <c r="C491" s="30"/>
      <c r="I491" s="30"/>
      <c r="J491" s="30"/>
      <c r="M491" s="30"/>
      <c r="N491" s="30"/>
      <c r="P491" s="30"/>
    </row>
    <row r="492" ht="15.75" customHeight="1">
      <c r="C492" s="30"/>
      <c r="I492" s="30"/>
      <c r="J492" s="30"/>
      <c r="M492" s="30"/>
      <c r="N492" s="30"/>
      <c r="P492" s="30"/>
    </row>
    <row r="493" ht="15.75" customHeight="1">
      <c r="C493" s="30"/>
      <c r="I493" s="30"/>
      <c r="J493" s="30"/>
      <c r="M493" s="30"/>
      <c r="N493" s="30"/>
      <c r="P493" s="30"/>
    </row>
    <row r="494" ht="15.75" customHeight="1">
      <c r="C494" s="30"/>
      <c r="I494" s="30"/>
      <c r="J494" s="30"/>
      <c r="M494" s="30"/>
      <c r="N494" s="30"/>
      <c r="P494" s="30"/>
    </row>
    <row r="495" ht="15.75" customHeight="1">
      <c r="C495" s="30"/>
      <c r="I495" s="30"/>
      <c r="J495" s="30"/>
      <c r="M495" s="30"/>
      <c r="N495" s="30"/>
      <c r="P495" s="30"/>
    </row>
    <row r="496" ht="15.75" customHeight="1">
      <c r="C496" s="30"/>
      <c r="I496" s="30"/>
      <c r="J496" s="30"/>
      <c r="M496" s="30"/>
      <c r="N496" s="30"/>
      <c r="P496" s="30"/>
    </row>
    <row r="497" ht="15.75" customHeight="1">
      <c r="C497" s="30"/>
      <c r="I497" s="30"/>
      <c r="J497" s="30"/>
      <c r="M497" s="30"/>
      <c r="N497" s="30"/>
      <c r="P497" s="30"/>
    </row>
    <row r="498" ht="15.75" customHeight="1">
      <c r="C498" s="30"/>
      <c r="I498" s="30"/>
      <c r="J498" s="30"/>
      <c r="M498" s="30"/>
      <c r="N498" s="30"/>
      <c r="P498" s="30"/>
    </row>
    <row r="499" ht="15.75" customHeight="1">
      <c r="C499" s="30"/>
      <c r="I499" s="30"/>
      <c r="J499" s="30"/>
      <c r="M499" s="30"/>
      <c r="N499" s="30"/>
      <c r="P499" s="30"/>
    </row>
    <row r="500" ht="15.75" customHeight="1">
      <c r="C500" s="30"/>
      <c r="I500" s="30"/>
      <c r="J500" s="30"/>
      <c r="M500" s="30"/>
      <c r="N500" s="30"/>
      <c r="P500" s="30"/>
    </row>
    <row r="501" ht="15.75" customHeight="1">
      <c r="C501" s="30"/>
      <c r="I501" s="30"/>
      <c r="J501" s="30"/>
      <c r="M501" s="30"/>
      <c r="N501" s="30"/>
      <c r="P501" s="30"/>
    </row>
    <row r="502" ht="15.75" customHeight="1">
      <c r="C502" s="30"/>
      <c r="I502" s="30"/>
      <c r="J502" s="30"/>
      <c r="M502" s="30"/>
      <c r="N502" s="30"/>
      <c r="P502" s="30"/>
    </row>
    <row r="503" ht="15.75" customHeight="1">
      <c r="C503" s="30"/>
      <c r="I503" s="30"/>
      <c r="J503" s="30"/>
      <c r="M503" s="30"/>
      <c r="N503" s="30"/>
      <c r="P503" s="30"/>
    </row>
    <row r="504" ht="15.75" customHeight="1">
      <c r="C504" s="30"/>
      <c r="I504" s="30"/>
      <c r="J504" s="30"/>
      <c r="M504" s="30"/>
      <c r="N504" s="30"/>
      <c r="P504" s="30"/>
    </row>
    <row r="505" ht="15.75" customHeight="1">
      <c r="C505" s="30"/>
      <c r="I505" s="30"/>
      <c r="J505" s="30"/>
      <c r="M505" s="30"/>
      <c r="N505" s="30"/>
      <c r="P505" s="30"/>
    </row>
    <row r="506" ht="15.75" customHeight="1">
      <c r="C506" s="30"/>
      <c r="I506" s="30"/>
      <c r="J506" s="30"/>
      <c r="M506" s="30"/>
      <c r="N506" s="30"/>
      <c r="P506" s="30"/>
    </row>
    <row r="507" ht="15.75" customHeight="1">
      <c r="C507" s="30"/>
      <c r="I507" s="30"/>
      <c r="J507" s="30"/>
      <c r="M507" s="30"/>
      <c r="N507" s="30"/>
      <c r="P507" s="30"/>
    </row>
    <row r="508" ht="15.75" customHeight="1">
      <c r="C508" s="30"/>
      <c r="I508" s="30"/>
      <c r="J508" s="30"/>
      <c r="M508" s="30"/>
      <c r="N508" s="30"/>
      <c r="P508" s="30"/>
    </row>
    <row r="509" ht="15.75" customHeight="1">
      <c r="C509" s="30"/>
      <c r="I509" s="30"/>
      <c r="J509" s="30"/>
      <c r="M509" s="30"/>
      <c r="N509" s="30"/>
      <c r="P509" s="30"/>
    </row>
    <row r="510" ht="15.75" customHeight="1">
      <c r="C510" s="30"/>
      <c r="I510" s="30"/>
      <c r="J510" s="30"/>
      <c r="M510" s="30"/>
      <c r="N510" s="30"/>
      <c r="P510" s="30"/>
    </row>
    <row r="511" ht="15.75" customHeight="1">
      <c r="C511" s="30"/>
      <c r="I511" s="30"/>
      <c r="J511" s="30"/>
      <c r="M511" s="30"/>
      <c r="N511" s="30"/>
      <c r="P511" s="30"/>
    </row>
    <row r="512" ht="15.75" customHeight="1">
      <c r="C512" s="30"/>
      <c r="I512" s="30"/>
      <c r="J512" s="30"/>
      <c r="M512" s="30"/>
      <c r="N512" s="30"/>
      <c r="P512" s="30"/>
    </row>
    <row r="513" ht="15.75" customHeight="1">
      <c r="C513" s="30"/>
      <c r="I513" s="30"/>
      <c r="J513" s="30"/>
      <c r="M513" s="30"/>
      <c r="N513" s="30"/>
      <c r="P513" s="30"/>
    </row>
    <row r="514" ht="15.75" customHeight="1">
      <c r="C514" s="30"/>
      <c r="I514" s="30"/>
      <c r="J514" s="30"/>
      <c r="M514" s="30"/>
      <c r="N514" s="30"/>
      <c r="P514" s="30"/>
    </row>
    <row r="515" ht="15.75" customHeight="1">
      <c r="C515" s="30"/>
      <c r="I515" s="30"/>
      <c r="J515" s="30"/>
      <c r="M515" s="30"/>
      <c r="N515" s="30"/>
      <c r="P515" s="30"/>
    </row>
    <row r="516" ht="15.75" customHeight="1">
      <c r="C516" s="30"/>
      <c r="I516" s="30"/>
      <c r="J516" s="30"/>
      <c r="M516" s="30"/>
      <c r="N516" s="30"/>
      <c r="P516" s="30"/>
    </row>
    <row r="517" ht="15.75" customHeight="1">
      <c r="C517" s="30"/>
      <c r="I517" s="30"/>
      <c r="J517" s="30"/>
      <c r="M517" s="30"/>
      <c r="N517" s="30"/>
      <c r="P517" s="30"/>
    </row>
    <row r="518" ht="15.75" customHeight="1">
      <c r="C518" s="30"/>
      <c r="I518" s="30"/>
      <c r="J518" s="30"/>
      <c r="M518" s="30"/>
      <c r="N518" s="30"/>
      <c r="P518" s="30"/>
    </row>
    <row r="519" ht="15.75" customHeight="1">
      <c r="C519" s="30"/>
      <c r="I519" s="30"/>
      <c r="J519" s="30"/>
      <c r="M519" s="30"/>
      <c r="N519" s="30"/>
      <c r="P519" s="30"/>
    </row>
    <row r="520" ht="15.75" customHeight="1">
      <c r="C520" s="30"/>
      <c r="I520" s="30"/>
      <c r="J520" s="30"/>
      <c r="M520" s="30"/>
      <c r="N520" s="30"/>
      <c r="P520" s="30"/>
    </row>
    <row r="521" ht="15.75" customHeight="1">
      <c r="C521" s="30"/>
      <c r="I521" s="30"/>
      <c r="J521" s="30"/>
      <c r="M521" s="30"/>
      <c r="N521" s="30"/>
      <c r="P521" s="30"/>
    </row>
    <row r="522" ht="15.75" customHeight="1">
      <c r="C522" s="30"/>
      <c r="I522" s="30"/>
      <c r="J522" s="30"/>
      <c r="M522" s="30"/>
      <c r="N522" s="30"/>
      <c r="P522" s="30"/>
    </row>
    <row r="523" ht="15.75" customHeight="1">
      <c r="C523" s="30"/>
      <c r="I523" s="30"/>
      <c r="J523" s="30"/>
      <c r="M523" s="30"/>
      <c r="N523" s="30"/>
      <c r="P523" s="30"/>
    </row>
    <row r="524" ht="15.75" customHeight="1">
      <c r="C524" s="30"/>
      <c r="I524" s="30"/>
      <c r="J524" s="30"/>
      <c r="M524" s="30"/>
      <c r="N524" s="30"/>
      <c r="P524" s="30"/>
    </row>
    <row r="525" ht="15.75" customHeight="1">
      <c r="C525" s="30"/>
      <c r="I525" s="30"/>
      <c r="J525" s="30"/>
      <c r="M525" s="30"/>
      <c r="N525" s="30"/>
      <c r="P525" s="30"/>
    </row>
    <row r="526" ht="15.75" customHeight="1">
      <c r="C526" s="30"/>
      <c r="I526" s="30"/>
      <c r="J526" s="30"/>
      <c r="M526" s="30"/>
      <c r="N526" s="30"/>
      <c r="P526" s="30"/>
    </row>
    <row r="527" ht="15.75" customHeight="1">
      <c r="C527" s="30"/>
      <c r="I527" s="30"/>
      <c r="J527" s="30"/>
      <c r="M527" s="30"/>
      <c r="N527" s="30"/>
      <c r="P527" s="30"/>
    </row>
    <row r="528" ht="15.75" customHeight="1">
      <c r="C528" s="30"/>
      <c r="I528" s="30"/>
      <c r="J528" s="30"/>
      <c r="M528" s="30"/>
      <c r="N528" s="30"/>
      <c r="P528" s="30"/>
    </row>
    <row r="529" ht="15.75" customHeight="1">
      <c r="C529" s="30"/>
      <c r="I529" s="30"/>
      <c r="J529" s="30"/>
      <c r="M529" s="30"/>
      <c r="N529" s="30"/>
      <c r="P529" s="30"/>
    </row>
    <row r="530" ht="15.75" customHeight="1">
      <c r="C530" s="30"/>
      <c r="I530" s="30"/>
      <c r="J530" s="30"/>
      <c r="M530" s="30"/>
      <c r="N530" s="30"/>
      <c r="P530" s="30"/>
    </row>
    <row r="531" ht="15.75" customHeight="1">
      <c r="C531" s="30"/>
      <c r="I531" s="30"/>
      <c r="J531" s="30"/>
      <c r="M531" s="30"/>
      <c r="N531" s="30"/>
      <c r="P531" s="30"/>
    </row>
    <row r="532" ht="15.75" customHeight="1">
      <c r="C532" s="30"/>
      <c r="I532" s="30"/>
      <c r="J532" s="30"/>
      <c r="M532" s="30"/>
      <c r="N532" s="30"/>
      <c r="P532" s="30"/>
    </row>
    <row r="533" ht="15.75" customHeight="1">
      <c r="C533" s="30"/>
      <c r="I533" s="30"/>
      <c r="J533" s="30"/>
      <c r="M533" s="30"/>
      <c r="N533" s="30"/>
      <c r="P533" s="30"/>
    </row>
    <row r="534" ht="15.75" customHeight="1">
      <c r="C534" s="30"/>
      <c r="I534" s="30"/>
      <c r="J534" s="30"/>
      <c r="M534" s="30"/>
      <c r="N534" s="30"/>
      <c r="P534" s="30"/>
    </row>
    <row r="535" ht="15.75" customHeight="1">
      <c r="C535" s="30"/>
      <c r="I535" s="30"/>
      <c r="J535" s="30"/>
      <c r="M535" s="30"/>
      <c r="N535" s="30"/>
      <c r="P535" s="30"/>
    </row>
    <row r="536" ht="15.75" customHeight="1">
      <c r="C536" s="30"/>
      <c r="I536" s="30"/>
      <c r="J536" s="30"/>
      <c r="M536" s="30"/>
      <c r="N536" s="30"/>
      <c r="P536" s="30"/>
    </row>
    <row r="537" ht="15.75" customHeight="1">
      <c r="C537" s="30"/>
      <c r="I537" s="30"/>
      <c r="J537" s="30"/>
      <c r="M537" s="30"/>
      <c r="N537" s="30"/>
      <c r="P537" s="30"/>
    </row>
    <row r="538" ht="15.75" customHeight="1">
      <c r="C538" s="30"/>
      <c r="I538" s="30"/>
      <c r="J538" s="30"/>
      <c r="M538" s="30"/>
      <c r="N538" s="30"/>
      <c r="P538" s="30"/>
    </row>
    <row r="539" ht="15.75" customHeight="1">
      <c r="C539" s="30"/>
      <c r="I539" s="30"/>
      <c r="J539" s="30"/>
      <c r="M539" s="30"/>
      <c r="N539" s="30"/>
      <c r="P539" s="30"/>
    </row>
    <row r="540" ht="15.75" customHeight="1">
      <c r="C540" s="30"/>
      <c r="I540" s="30"/>
      <c r="J540" s="30"/>
      <c r="M540" s="30"/>
      <c r="N540" s="30"/>
      <c r="P540" s="30"/>
    </row>
    <row r="541" ht="15.75" customHeight="1">
      <c r="C541" s="30"/>
      <c r="I541" s="30"/>
      <c r="J541" s="30"/>
      <c r="M541" s="30"/>
      <c r="N541" s="30"/>
      <c r="P541" s="30"/>
    </row>
    <row r="542" ht="15.75" customHeight="1">
      <c r="C542" s="30"/>
      <c r="I542" s="30"/>
      <c r="J542" s="30"/>
      <c r="M542" s="30"/>
      <c r="N542" s="30"/>
      <c r="P542" s="30"/>
    </row>
    <row r="543" ht="15.75" customHeight="1">
      <c r="C543" s="30"/>
      <c r="I543" s="30"/>
      <c r="J543" s="30"/>
      <c r="M543" s="30"/>
      <c r="N543" s="30"/>
      <c r="P543" s="30"/>
    </row>
    <row r="544" ht="15.75" customHeight="1">
      <c r="C544" s="30"/>
      <c r="I544" s="30"/>
      <c r="J544" s="30"/>
      <c r="M544" s="30"/>
      <c r="N544" s="30"/>
      <c r="P544" s="30"/>
    </row>
    <row r="545" ht="15.75" customHeight="1">
      <c r="C545" s="30"/>
      <c r="I545" s="30"/>
      <c r="J545" s="30"/>
      <c r="M545" s="30"/>
      <c r="N545" s="30"/>
      <c r="P545" s="30"/>
    </row>
    <row r="546" ht="15.75" customHeight="1">
      <c r="C546" s="30"/>
      <c r="I546" s="30"/>
      <c r="J546" s="30"/>
      <c r="M546" s="30"/>
      <c r="N546" s="30"/>
      <c r="P546" s="30"/>
    </row>
    <row r="547" ht="15.75" customHeight="1">
      <c r="C547" s="30"/>
      <c r="I547" s="30"/>
      <c r="J547" s="30"/>
      <c r="M547" s="30"/>
      <c r="N547" s="30"/>
      <c r="P547" s="30"/>
    </row>
    <row r="548" ht="15.75" customHeight="1">
      <c r="C548" s="30"/>
      <c r="I548" s="30"/>
      <c r="J548" s="30"/>
      <c r="M548" s="30"/>
      <c r="N548" s="30"/>
      <c r="P548" s="30"/>
    </row>
    <row r="549" ht="15.75" customHeight="1">
      <c r="C549" s="30"/>
      <c r="I549" s="30"/>
      <c r="J549" s="30"/>
      <c r="M549" s="30"/>
      <c r="N549" s="30"/>
      <c r="P549" s="30"/>
    </row>
    <row r="550" ht="15.75" customHeight="1">
      <c r="C550" s="30"/>
      <c r="I550" s="30"/>
      <c r="J550" s="30"/>
      <c r="M550" s="30"/>
      <c r="N550" s="30"/>
      <c r="P550" s="30"/>
    </row>
    <row r="551" ht="15.75" customHeight="1">
      <c r="C551" s="30"/>
      <c r="I551" s="30"/>
      <c r="J551" s="30"/>
      <c r="M551" s="30"/>
      <c r="N551" s="30"/>
      <c r="P551" s="30"/>
    </row>
    <row r="552" ht="15.75" customHeight="1">
      <c r="C552" s="30"/>
      <c r="I552" s="30"/>
      <c r="J552" s="30"/>
      <c r="M552" s="30"/>
      <c r="N552" s="30"/>
      <c r="P552" s="30"/>
    </row>
    <row r="553" ht="15.75" customHeight="1">
      <c r="C553" s="30"/>
      <c r="I553" s="30"/>
      <c r="J553" s="30"/>
      <c r="M553" s="30"/>
      <c r="N553" s="30"/>
      <c r="P553" s="30"/>
    </row>
    <row r="554" ht="15.75" customHeight="1">
      <c r="C554" s="30"/>
      <c r="I554" s="30"/>
      <c r="J554" s="30"/>
      <c r="M554" s="30"/>
      <c r="N554" s="30"/>
      <c r="P554" s="30"/>
    </row>
    <row r="555" ht="15.75" customHeight="1">
      <c r="C555" s="30"/>
      <c r="I555" s="30"/>
      <c r="J555" s="30"/>
      <c r="M555" s="30"/>
      <c r="N555" s="30"/>
      <c r="P555" s="30"/>
    </row>
    <row r="556" ht="15.75" customHeight="1">
      <c r="C556" s="30"/>
      <c r="I556" s="30"/>
      <c r="J556" s="30"/>
      <c r="M556" s="30"/>
      <c r="N556" s="30"/>
      <c r="P556" s="30"/>
    </row>
    <row r="557" ht="15.75" customHeight="1">
      <c r="C557" s="30"/>
      <c r="I557" s="30"/>
      <c r="J557" s="30"/>
      <c r="M557" s="30"/>
      <c r="N557" s="30"/>
      <c r="P557" s="30"/>
    </row>
    <row r="558" ht="15.75" customHeight="1">
      <c r="C558" s="30"/>
      <c r="I558" s="30"/>
      <c r="J558" s="30"/>
      <c r="M558" s="30"/>
      <c r="N558" s="30"/>
      <c r="P558" s="30"/>
    </row>
    <row r="559" ht="15.75" customHeight="1">
      <c r="C559" s="30"/>
      <c r="I559" s="30"/>
      <c r="J559" s="30"/>
      <c r="M559" s="30"/>
      <c r="N559" s="30"/>
      <c r="P559" s="30"/>
    </row>
    <row r="560" ht="15.75" customHeight="1">
      <c r="C560" s="30"/>
      <c r="I560" s="30"/>
      <c r="J560" s="30"/>
      <c r="M560" s="30"/>
      <c r="N560" s="30"/>
      <c r="P560" s="30"/>
    </row>
    <row r="561" ht="15.75" customHeight="1">
      <c r="C561" s="30"/>
      <c r="I561" s="30"/>
      <c r="J561" s="30"/>
      <c r="M561" s="30"/>
      <c r="N561" s="30"/>
      <c r="P561" s="30"/>
    </row>
    <row r="562" ht="15.75" customHeight="1">
      <c r="C562" s="30"/>
      <c r="I562" s="30"/>
      <c r="J562" s="30"/>
      <c r="M562" s="30"/>
      <c r="N562" s="30"/>
      <c r="P562" s="30"/>
    </row>
    <row r="563" ht="15.75" customHeight="1">
      <c r="C563" s="30"/>
      <c r="I563" s="30"/>
      <c r="J563" s="30"/>
      <c r="M563" s="30"/>
      <c r="N563" s="30"/>
      <c r="P563" s="30"/>
    </row>
    <row r="564" ht="15.75" customHeight="1">
      <c r="C564" s="30"/>
      <c r="I564" s="30"/>
      <c r="J564" s="30"/>
      <c r="M564" s="30"/>
      <c r="N564" s="30"/>
      <c r="P564" s="30"/>
    </row>
    <row r="565" ht="15.75" customHeight="1">
      <c r="C565" s="30"/>
      <c r="I565" s="30"/>
      <c r="J565" s="30"/>
      <c r="M565" s="30"/>
      <c r="N565" s="30"/>
      <c r="P565" s="30"/>
    </row>
    <row r="566" ht="15.75" customHeight="1">
      <c r="C566" s="30"/>
      <c r="I566" s="30"/>
      <c r="J566" s="30"/>
      <c r="M566" s="30"/>
      <c r="N566" s="30"/>
      <c r="P566" s="30"/>
    </row>
    <row r="567" ht="15.75" customHeight="1">
      <c r="C567" s="30"/>
      <c r="I567" s="30"/>
      <c r="J567" s="30"/>
      <c r="M567" s="30"/>
      <c r="N567" s="30"/>
      <c r="P567" s="30"/>
    </row>
    <row r="568" ht="15.75" customHeight="1">
      <c r="C568" s="30"/>
      <c r="I568" s="30"/>
      <c r="J568" s="30"/>
      <c r="M568" s="30"/>
      <c r="N568" s="30"/>
      <c r="P568" s="30"/>
    </row>
    <row r="569" ht="15.75" customHeight="1">
      <c r="C569" s="30"/>
      <c r="I569" s="30"/>
      <c r="J569" s="30"/>
      <c r="M569" s="30"/>
      <c r="N569" s="30"/>
      <c r="P569" s="30"/>
    </row>
    <row r="570" ht="15.75" customHeight="1">
      <c r="C570" s="30"/>
      <c r="I570" s="30"/>
      <c r="J570" s="30"/>
      <c r="M570" s="30"/>
      <c r="N570" s="30"/>
      <c r="P570" s="30"/>
    </row>
    <row r="571" ht="15.75" customHeight="1">
      <c r="C571" s="30"/>
      <c r="I571" s="30"/>
      <c r="J571" s="30"/>
      <c r="M571" s="30"/>
      <c r="N571" s="30"/>
      <c r="P571" s="30"/>
    </row>
    <row r="572" ht="15.75" customHeight="1">
      <c r="C572" s="30"/>
      <c r="I572" s="30"/>
      <c r="J572" s="30"/>
      <c r="M572" s="30"/>
      <c r="N572" s="30"/>
      <c r="P572" s="30"/>
    </row>
    <row r="573" ht="15.75" customHeight="1">
      <c r="C573" s="30"/>
      <c r="I573" s="30"/>
      <c r="J573" s="30"/>
      <c r="M573" s="30"/>
      <c r="N573" s="30"/>
      <c r="P573" s="30"/>
    </row>
    <row r="574" ht="15.75" customHeight="1">
      <c r="C574" s="30"/>
      <c r="I574" s="30"/>
      <c r="J574" s="30"/>
      <c r="M574" s="30"/>
      <c r="N574" s="30"/>
      <c r="P574" s="30"/>
    </row>
    <row r="575" ht="15.75" customHeight="1">
      <c r="C575" s="30"/>
      <c r="I575" s="30"/>
      <c r="J575" s="30"/>
      <c r="M575" s="30"/>
      <c r="N575" s="30"/>
      <c r="P575" s="30"/>
    </row>
    <row r="576" ht="15.75" customHeight="1">
      <c r="C576" s="30"/>
      <c r="I576" s="30"/>
      <c r="J576" s="30"/>
      <c r="M576" s="30"/>
      <c r="N576" s="30"/>
      <c r="P576" s="30"/>
    </row>
    <row r="577" ht="15.75" customHeight="1">
      <c r="C577" s="30"/>
      <c r="I577" s="30"/>
      <c r="J577" s="30"/>
      <c r="M577" s="30"/>
      <c r="N577" s="30"/>
      <c r="P577" s="30"/>
    </row>
    <row r="578" ht="15.75" customHeight="1">
      <c r="C578" s="30"/>
      <c r="I578" s="30"/>
      <c r="J578" s="30"/>
      <c r="M578" s="30"/>
      <c r="N578" s="30"/>
      <c r="P578" s="30"/>
    </row>
    <row r="579" ht="15.75" customHeight="1">
      <c r="C579" s="30"/>
      <c r="I579" s="30"/>
      <c r="J579" s="30"/>
      <c r="M579" s="30"/>
      <c r="N579" s="30"/>
      <c r="P579" s="30"/>
    </row>
    <row r="580" ht="15.75" customHeight="1">
      <c r="C580" s="30"/>
      <c r="I580" s="30"/>
      <c r="J580" s="30"/>
      <c r="M580" s="30"/>
      <c r="N580" s="30"/>
      <c r="P580" s="30"/>
    </row>
    <row r="581" ht="15.75" customHeight="1">
      <c r="C581" s="30"/>
      <c r="I581" s="30"/>
      <c r="J581" s="30"/>
      <c r="M581" s="30"/>
      <c r="N581" s="30"/>
      <c r="P581" s="30"/>
    </row>
    <row r="582" ht="15.75" customHeight="1">
      <c r="C582" s="30"/>
      <c r="I582" s="30"/>
      <c r="J582" s="30"/>
      <c r="M582" s="30"/>
      <c r="N582" s="30"/>
      <c r="P582" s="30"/>
    </row>
    <row r="583" ht="15.75" customHeight="1">
      <c r="C583" s="30"/>
      <c r="I583" s="30"/>
      <c r="J583" s="30"/>
      <c r="M583" s="30"/>
      <c r="N583" s="30"/>
      <c r="P583" s="30"/>
    </row>
    <row r="584" ht="15.75" customHeight="1">
      <c r="C584" s="30"/>
      <c r="I584" s="30"/>
      <c r="J584" s="30"/>
      <c r="M584" s="30"/>
      <c r="N584" s="30"/>
      <c r="P584" s="30"/>
    </row>
    <row r="585" ht="15.75" customHeight="1">
      <c r="C585" s="30"/>
      <c r="I585" s="30"/>
      <c r="J585" s="30"/>
      <c r="M585" s="30"/>
      <c r="N585" s="30"/>
      <c r="P585" s="30"/>
    </row>
    <row r="586" ht="15.75" customHeight="1">
      <c r="C586" s="30"/>
      <c r="I586" s="30"/>
      <c r="J586" s="30"/>
      <c r="M586" s="30"/>
      <c r="N586" s="30"/>
      <c r="P586" s="30"/>
    </row>
    <row r="587" ht="15.75" customHeight="1">
      <c r="C587" s="30"/>
      <c r="I587" s="30"/>
      <c r="J587" s="30"/>
      <c r="M587" s="30"/>
      <c r="N587" s="30"/>
      <c r="P587" s="30"/>
    </row>
    <row r="588" ht="15.75" customHeight="1">
      <c r="C588" s="30"/>
      <c r="I588" s="30"/>
      <c r="J588" s="30"/>
      <c r="M588" s="30"/>
      <c r="N588" s="30"/>
      <c r="P588" s="30"/>
    </row>
    <row r="589" ht="15.75" customHeight="1">
      <c r="C589" s="30"/>
      <c r="I589" s="30"/>
      <c r="J589" s="30"/>
      <c r="M589" s="30"/>
      <c r="N589" s="30"/>
      <c r="P589" s="30"/>
    </row>
    <row r="590" ht="15.75" customHeight="1">
      <c r="C590" s="30"/>
      <c r="I590" s="30"/>
      <c r="J590" s="30"/>
      <c r="M590" s="30"/>
      <c r="N590" s="30"/>
      <c r="P590" s="30"/>
    </row>
    <row r="591" ht="15.75" customHeight="1">
      <c r="C591" s="30"/>
      <c r="I591" s="30"/>
      <c r="J591" s="30"/>
      <c r="M591" s="30"/>
      <c r="N591" s="30"/>
      <c r="P591" s="30"/>
    </row>
    <row r="592" ht="15.75" customHeight="1">
      <c r="C592" s="30"/>
      <c r="I592" s="30"/>
      <c r="J592" s="30"/>
      <c r="M592" s="30"/>
      <c r="N592" s="30"/>
      <c r="P592" s="30"/>
    </row>
    <row r="593" ht="15.75" customHeight="1">
      <c r="C593" s="30"/>
      <c r="I593" s="30"/>
      <c r="J593" s="30"/>
      <c r="M593" s="30"/>
      <c r="N593" s="30"/>
      <c r="P593" s="30"/>
    </row>
    <row r="594" ht="15.75" customHeight="1">
      <c r="C594" s="30"/>
      <c r="I594" s="30"/>
      <c r="J594" s="30"/>
      <c r="M594" s="30"/>
      <c r="N594" s="30"/>
      <c r="P594" s="30"/>
    </row>
    <row r="595" ht="15.75" customHeight="1">
      <c r="C595" s="30"/>
      <c r="I595" s="30"/>
      <c r="J595" s="30"/>
      <c r="M595" s="30"/>
      <c r="N595" s="30"/>
      <c r="P595" s="30"/>
    </row>
    <row r="596" ht="15.75" customHeight="1">
      <c r="C596" s="30"/>
      <c r="I596" s="30"/>
      <c r="J596" s="30"/>
      <c r="M596" s="30"/>
      <c r="N596" s="30"/>
      <c r="P596" s="30"/>
    </row>
    <row r="597" ht="15.75" customHeight="1">
      <c r="C597" s="30"/>
      <c r="I597" s="30"/>
      <c r="J597" s="30"/>
      <c r="M597" s="30"/>
      <c r="N597" s="30"/>
      <c r="P597" s="30"/>
    </row>
    <row r="598" ht="15.75" customHeight="1">
      <c r="C598" s="30"/>
      <c r="I598" s="30"/>
      <c r="J598" s="30"/>
      <c r="M598" s="30"/>
      <c r="N598" s="30"/>
      <c r="P598" s="30"/>
    </row>
    <row r="599" ht="15.75" customHeight="1">
      <c r="C599" s="30"/>
      <c r="I599" s="30"/>
      <c r="J599" s="30"/>
      <c r="M599" s="30"/>
      <c r="N599" s="30"/>
      <c r="P599" s="30"/>
    </row>
    <row r="600" ht="15.75" customHeight="1">
      <c r="C600" s="30"/>
      <c r="I600" s="30"/>
      <c r="J600" s="30"/>
      <c r="M600" s="30"/>
      <c r="N600" s="30"/>
      <c r="P600" s="30"/>
    </row>
    <row r="601" ht="15.75" customHeight="1">
      <c r="C601" s="30"/>
      <c r="I601" s="30"/>
      <c r="J601" s="30"/>
      <c r="M601" s="30"/>
      <c r="N601" s="30"/>
      <c r="P601" s="30"/>
    </row>
    <row r="602" ht="15.75" customHeight="1">
      <c r="C602" s="30"/>
      <c r="I602" s="30"/>
      <c r="J602" s="30"/>
      <c r="M602" s="30"/>
      <c r="N602" s="30"/>
      <c r="P602" s="30"/>
    </row>
    <row r="603" ht="15.75" customHeight="1">
      <c r="C603" s="30"/>
      <c r="I603" s="30"/>
      <c r="J603" s="30"/>
      <c r="M603" s="30"/>
      <c r="N603" s="30"/>
      <c r="P603" s="30"/>
    </row>
    <row r="604" ht="15.75" customHeight="1">
      <c r="C604" s="30"/>
      <c r="I604" s="30"/>
      <c r="J604" s="30"/>
      <c r="M604" s="30"/>
      <c r="N604" s="30"/>
      <c r="P604" s="30"/>
    </row>
    <row r="605" ht="15.75" customHeight="1">
      <c r="C605" s="30"/>
      <c r="I605" s="30"/>
      <c r="J605" s="30"/>
      <c r="M605" s="30"/>
      <c r="N605" s="30"/>
      <c r="P605" s="30"/>
    </row>
    <row r="606" ht="15.75" customHeight="1">
      <c r="C606" s="30"/>
      <c r="I606" s="30"/>
      <c r="J606" s="30"/>
      <c r="M606" s="30"/>
      <c r="N606" s="30"/>
      <c r="P606" s="30"/>
    </row>
    <row r="607" ht="15.75" customHeight="1">
      <c r="C607" s="30"/>
      <c r="I607" s="30"/>
      <c r="J607" s="30"/>
      <c r="M607" s="30"/>
      <c r="N607" s="30"/>
      <c r="P607" s="30"/>
    </row>
    <row r="608" ht="15.75" customHeight="1">
      <c r="C608" s="30"/>
      <c r="I608" s="30"/>
      <c r="J608" s="30"/>
      <c r="M608" s="30"/>
      <c r="N608" s="30"/>
      <c r="P608" s="30"/>
    </row>
    <row r="609" ht="15.75" customHeight="1">
      <c r="C609" s="30"/>
      <c r="I609" s="30"/>
      <c r="J609" s="30"/>
      <c r="M609" s="30"/>
      <c r="N609" s="30"/>
      <c r="P609" s="30"/>
    </row>
    <row r="610" ht="15.75" customHeight="1">
      <c r="C610" s="30"/>
      <c r="I610" s="30"/>
      <c r="J610" s="30"/>
      <c r="M610" s="30"/>
      <c r="N610" s="30"/>
      <c r="P610" s="30"/>
    </row>
    <row r="611" ht="15.75" customHeight="1">
      <c r="C611" s="30"/>
      <c r="I611" s="30"/>
      <c r="J611" s="30"/>
      <c r="M611" s="30"/>
      <c r="N611" s="30"/>
      <c r="P611" s="30"/>
    </row>
    <row r="612" ht="15.75" customHeight="1">
      <c r="C612" s="30"/>
      <c r="I612" s="30"/>
      <c r="J612" s="30"/>
      <c r="M612" s="30"/>
      <c r="N612" s="30"/>
      <c r="P612" s="30"/>
    </row>
    <row r="613" ht="15.75" customHeight="1">
      <c r="C613" s="30"/>
      <c r="I613" s="30"/>
      <c r="J613" s="30"/>
      <c r="M613" s="30"/>
      <c r="N613" s="30"/>
      <c r="P613" s="30"/>
    </row>
    <row r="614" ht="15.75" customHeight="1">
      <c r="C614" s="30"/>
      <c r="I614" s="30"/>
      <c r="J614" s="30"/>
      <c r="M614" s="30"/>
      <c r="N614" s="30"/>
      <c r="P614" s="30"/>
    </row>
    <row r="615" ht="15.75" customHeight="1">
      <c r="C615" s="30"/>
      <c r="I615" s="30"/>
      <c r="J615" s="30"/>
      <c r="M615" s="30"/>
      <c r="N615" s="30"/>
      <c r="P615" s="30"/>
    </row>
    <row r="616" ht="15.75" customHeight="1">
      <c r="C616" s="30"/>
      <c r="I616" s="30"/>
      <c r="J616" s="30"/>
      <c r="M616" s="30"/>
      <c r="N616" s="30"/>
      <c r="P616" s="30"/>
    </row>
    <row r="617" ht="15.75" customHeight="1">
      <c r="C617" s="30"/>
      <c r="I617" s="30"/>
      <c r="J617" s="30"/>
      <c r="M617" s="30"/>
      <c r="N617" s="30"/>
      <c r="P617" s="30"/>
    </row>
    <row r="618" ht="15.75" customHeight="1">
      <c r="C618" s="30"/>
      <c r="I618" s="30"/>
      <c r="J618" s="30"/>
      <c r="M618" s="30"/>
      <c r="N618" s="30"/>
      <c r="P618" s="30"/>
    </row>
    <row r="619" ht="15.75" customHeight="1">
      <c r="C619" s="30"/>
      <c r="I619" s="30"/>
      <c r="J619" s="30"/>
      <c r="M619" s="30"/>
      <c r="N619" s="30"/>
      <c r="P619" s="30"/>
    </row>
    <row r="620" ht="15.75" customHeight="1">
      <c r="C620" s="30"/>
      <c r="I620" s="30"/>
      <c r="J620" s="30"/>
      <c r="M620" s="30"/>
      <c r="N620" s="30"/>
      <c r="P620" s="30"/>
    </row>
    <row r="621" ht="15.75" customHeight="1">
      <c r="C621" s="30"/>
      <c r="I621" s="30"/>
      <c r="J621" s="30"/>
      <c r="M621" s="30"/>
      <c r="N621" s="30"/>
      <c r="P621" s="30"/>
    </row>
    <row r="622" ht="15.75" customHeight="1">
      <c r="C622" s="30"/>
      <c r="I622" s="30"/>
      <c r="J622" s="30"/>
      <c r="M622" s="30"/>
      <c r="N622" s="30"/>
      <c r="P622" s="30"/>
    </row>
    <row r="623" ht="15.75" customHeight="1">
      <c r="C623" s="30"/>
      <c r="I623" s="30"/>
      <c r="J623" s="30"/>
      <c r="M623" s="30"/>
      <c r="N623" s="30"/>
      <c r="P623" s="30"/>
    </row>
    <row r="624" ht="15.75" customHeight="1">
      <c r="C624" s="30"/>
      <c r="I624" s="30"/>
      <c r="J624" s="30"/>
      <c r="M624" s="30"/>
      <c r="N624" s="30"/>
      <c r="P624" s="30"/>
    </row>
    <row r="625" ht="15.75" customHeight="1">
      <c r="C625" s="30"/>
      <c r="I625" s="30"/>
      <c r="J625" s="30"/>
      <c r="M625" s="30"/>
      <c r="N625" s="30"/>
      <c r="P625" s="30"/>
    </row>
    <row r="626" ht="15.75" customHeight="1">
      <c r="C626" s="30"/>
      <c r="I626" s="30"/>
      <c r="J626" s="30"/>
      <c r="M626" s="30"/>
      <c r="N626" s="30"/>
      <c r="P626" s="30"/>
    </row>
    <row r="627" ht="15.75" customHeight="1">
      <c r="C627" s="30"/>
      <c r="I627" s="30"/>
      <c r="J627" s="30"/>
      <c r="M627" s="30"/>
      <c r="N627" s="30"/>
      <c r="P627" s="30"/>
    </row>
    <row r="628" ht="15.75" customHeight="1">
      <c r="C628" s="30"/>
      <c r="I628" s="30"/>
      <c r="J628" s="30"/>
      <c r="M628" s="30"/>
      <c r="N628" s="30"/>
      <c r="P628" s="30"/>
    </row>
    <row r="629" ht="15.75" customHeight="1">
      <c r="C629" s="30"/>
      <c r="I629" s="30"/>
      <c r="J629" s="30"/>
      <c r="M629" s="30"/>
      <c r="N629" s="30"/>
      <c r="P629" s="30"/>
    </row>
    <row r="630" ht="15.75" customHeight="1">
      <c r="C630" s="30"/>
      <c r="I630" s="30"/>
      <c r="J630" s="30"/>
      <c r="M630" s="30"/>
      <c r="N630" s="30"/>
      <c r="P630" s="30"/>
    </row>
    <row r="631" ht="15.75" customHeight="1">
      <c r="C631" s="30"/>
      <c r="I631" s="30"/>
      <c r="J631" s="30"/>
      <c r="M631" s="30"/>
      <c r="N631" s="30"/>
      <c r="P631" s="30"/>
    </row>
    <row r="632" ht="15.75" customHeight="1">
      <c r="C632" s="30"/>
      <c r="I632" s="30"/>
      <c r="J632" s="30"/>
      <c r="M632" s="30"/>
      <c r="N632" s="30"/>
      <c r="P632" s="30"/>
    </row>
    <row r="633" ht="15.75" customHeight="1">
      <c r="C633" s="30"/>
      <c r="I633" s="30"/>
      <c r="J633" s="30"/>
      <c r="M633" s="30"/>
      <c r="N633" s="30"/>
      <c r="P633" s="30"/>
    </row>
    <row r="634" ht="15.75" customHeight="1">
      <c r="C634" s="30"/>
      <c r="I634" s="30"/>
      <c r="J634" s="30"/>
      <c r="M634" s="30"/>
      <c r="N634" s="30"/>
      <c r="P634" s="30"/>
    </row>
    <row r="635" ht="15.75" customHeight="1">
      <c r="C635" s="30"/>
      <c r="I635" s="30"/>
      <c r="J635" s="30"/>
      <c r="M635" s="30"/>
      <c r="N635" s="30"/>
      <c r="P635" s="30"/>
    </row>
    <row r="636" ht="15.75" customHeight="1">
      <c r="C636" s="30"/>
      <c r="I636" s="30"/>
      <c r="J636" s="30"/>
      <c r="M636" s="30"/>
      <c r="N636" s="30"/>
      <c r="P636" s="30"/>
    </row>
    <row r="637" ht="15.75" customHeight="1">
      <c r="C637" s="30"/>
      <c r="I637" s="30"/>
      <c r="J637" s="30"/>
      <c r="M637" s="30"/>
      <c r="N637" s="30"/>
      <c r="P637" s="30"/>
    </row>
    <row r="638" ht="15.75" customHeight="1">
      <c r="C638" s="30"/>
      <c r="I638" s="30"/>
      <c r="J638" s="30"/>
      <c r="M638" s="30"/>
      <c r="N638" s="30"/>
      <c r="P638" s="30"/>
    </row>
    <row r="639" ht="15.75" customHeight="1">
      <c r="C639" s="30"/>
      <c r="I639" s="30"/>
      <c r="J639" s="30"/>
      <c r="M639" s="30"/>
      <c r="N639" s="30"/>
      <c r="P639" s="30"/>
    </row>
    <row r="640" ht="15.75" customHeight="1">
      <c r="C640" s="30"/>
      <c r="I640" s="30"/>
      <c r="J640" s="30"/>
      <c r="M640" s="30"/>
      <c r="N640" s="30"/>
      <c r="P640" s="30"/>
    </row>
    <row r="641" ht="15.75" customHeight="1">
      <c r="C641" s="30"/>
      <c r="I641" s="30"/>
      <c r="J641" s="30"/>
      <c r="M641" s="30"/>
      <c r="N641" s="30"/>
      <c r="P641" s="30"/>
    </row>
    <row r="642" ht="15.75" customHeight="1">
      <c r="C642" s="30"/>
      <c r="I642" s="30"/>
      <c r="J642" s="30"/>
      <c r="M642" s="30"/>
      <c r="N642" s="30"/>
      <c r="P642" s="30"/>
    </row>
    <row r="643" ht="15.75" customHeight="1">
      <c r="C643" s="30"/>
      <c r="I643" s="30"/>
      <c r="J643" s="30"/>
      <c r="M643" s="30"/>
      <c r="N643" s="30"/>
      <c r="P643" s="30"/>
    </row>
    <row r="644" ht="15.75" customHeight="1">
      <c r="C644" s="30"/>
      <c r="I644" s="30"/>
      <c r="J644" s="30"/>
      <c r="M644" s="30"/>
      <c r="N644" s="30"/>
      <c r="P644" s="30"/>
    </row>
    <row r="645" ht="15.75" customHeight="1">
      <c r="C645" s="30"/>
      <c r="I645" s="30"/>
      <c r="J645" s="30"/>
      <c r="M645" s="30"/>
      <c r="N645" s="30"/>
      <c r="P645" s="30"/>
    </row>
    <row r="646" ht="15.75" customHeight="1">
      <c r="C646" s="30"/>
      <c r="I646" s="30"/>
      <c r="J646" s="30"/>
      <c r="M646" s="30"/>
      <c r="N646" s="30"/>
      <c r="P646" s="30"/>
    </row>
    <row r="647" ht="15.75" customHeight="1">
      <c r="C647" s="30"/>
      <c r="I647" s="30"/>
      <c r="J647" s="30"/>
      <c r="M647" s="30"/>
      <c r="N647" s="30"/>
      <c r="P647" s="30"/>
    </row>
    <row r="648" ht="15.75" customHeight="1">
      <c r="C648" s="30"/>
      <c r="I648" s="30"/>
      <c r="J648" s="30"/>
      <c r="M648" s="30"/>
      <c r="N648" s="30"/>
      <c r="P648" s="30"/>
    </row>
    <row r="649" ht="15.75" customHeight="1">
      <c r="C649" s="30"/>
      <c r="I649" s="30"/>
      <c r="J649" s="30"/>
      <c r="M649" s="30"/>
      <c r="N649" s="30"/>
      <c r="P649" s="30"/>
    </row>
    <row r="650" ht="15.75" customHeight="1">
      <c r="C650" s="30"/>
      <c r="I650" s="30"/>
      <c r="J650" s="30"/>
      <c r="M650" s="30"/>
      <c r="N650" s="30"/>
      <c r="P650" s="30"/>
    </row>
    <row r="651" ht="15.75" customHeight="1">
      <c r="C651" s="30"/>
      <c r="I651" s="30"/>
      <c r="J651" s="30"/>
      <c r="M651" s="30"/>
      <c r="N651" s="30"/>
      <c r="P651" s="30"/>
    </row>
    <row r="652" ht="15.75" customHeight="1">
      <c r="C652" s="30"/>
      <c r="I652" s="30"/>
      <c r="J652" s="30"/>
      <c r="M652" s="30"/>
      <c r="N652" s="30"/>
      <c r="P652" s="30"/>
    </row>
    <row r="653" ht="15.75" customHeight="1">
      <c r="C653" s="30"/>
      <c r="I653" s="30"/>
      <c r="J653" s="30"/>
      <c r="M653" s="30"/>
      <c r="N653" s="30"/>
      <c r="P653" s="30"/>
    </row>
    <row r="654" ht="15.75" customHeight="1">
      <c r="C654" s="30"/>
      <c r="I654" s="30"/>
      <c r="J654" s="30"/>
      <c r="M654" s="30"/>
      <c r="N654" s="30"/>
      <c r="P654" s="30"/>
    </row>
    <row r="655" ht="15.75" customHeight="1">
      <c r="C655" s="30"/>
      <c r="I655" s="30"/>
      <c r="J655" s="30"/>
      <c r="M655" s="30"/>
      <c r="N655" s="30"/>
      <c r="P655" s="30"/>
    </row>
    <row r="656" ht="15.75" customHeight="1">
      <c r="C656" s="30"/>
      <c r="I656" s="30"/>
      <c r="J656" s="30"/>
      <c r="M656" s="30"/>
      <c r="N656" s="30"/>
      <c r="P656" s="30"/>
    </row>
    <row r="657" ht="15.75" customHeight="1">
      <c r="C657" s="30"/>
      <c r="I657" s="30"/>
      <c r="J657" s="30"/>
      <c r="M657" s="30"/>
      <c r="N657" s="30"/>
      <c r="P657" s="30"/>
    </row>
    <row r="658" ht="15.75" customHeight="1">
      <c r="C658" s="30"/>
      <c r="I658" s="30"/>
      <c r="J658" s="30"/>
      <c r="M658" s="30"/>
      <c r="N658" s="30"/>
      <c r="P658" s="30"/>
    </row>
    <row r="659" ht="15.75" customHeight="1">
      <c r="C659" s="30"/>
      <c r="I659" s="30"/>
      <c r="J659" s="30"/>
      <c r="M659" s="30"/>
      <c r="N659" s="30"/>
      <c r="P659" s="30"/>
    </row>
    <row r="660" ht="15.75" customHeight="1">
      <c r="C660" s="30"/>
      <c r="I660" s="30"/>
      <c r="J660" s="30"/>
      <c r="M660" s="30"/>
      <c r="N660" s="30"/>
      <c r="P660" s="30"/>
    </row>
    <row r="661" ht="15.75" customHeight="1">
      <c r="C661" s="30"/>
      <c r="I661" s="30"/>
      <c r="J661" s="30"/>
      <c r="M661" s="30"/>
      <c r="N661" s="30"/>
      <c r="P661" s="30"/>
    </row>
    <row r="662" ht="15.75" customHeight="1">
      <c r="C662" s="30"/>
      <c r="I662" s="30"/>
      <c r="J662" s="30"/>
      <c r="M662" s="30"/>
      <c r="N662" s="30"/>
      <c r="P662" s="30"/>
    </row>
    <row r="663" ht="15.75" customHeight="1">
      <c r="C663" s="30"/>
      <c r="I663" s="30"/>
      <c r="J663" s="30"/>
      <c r="M663" s="30"/>
      <c r="N663" s="30"/>
      <c r="P663" s="30"/>
    </row>
    <row r="664" ht="15.75" customHeight="1">
      <c r="C664" s="30"/>
      <c r="I664" s="30"/>
      <c r="J664" s="30"/>
      <c r="M664" s="30"/>
      <c r="N664" s="30"/>
      <c r="P664" s="30"/>
    </row>
    <row r="665" ht="15.75" customHeight="1">
      <c r="C665" s="30"/>
      <c r="I665" s="30"/>
      <c r="J665" s="30"/>
      <c r="M665" s="30"/>
      <c r="N665" s="30"/>
      <c r="P665" s="30"/>
    </row>
    <row r="666" ht="15.75" customHeight="1">
      <c r="C666" s="30"/>
      <c r="I666" s="30"/>
      <c r="J666" s="30"/>
      <c r="M666" s="30"/>
      <c r="N666" s="30"/>
      <c r="P666" s="30"/>
    </row>
    <row r="667" ht="15.75" customHeight="1">
      <c r="C667" s="30"/>
      <c r="I667" s="30"/>
      <c r="J667" s="30"/>
      <c r="M667" s="30"/>
      <c r="N667" s="30"/>
      <c r="P667" s="30"/>
    </row>
    <row r="668" ht="15.75" customHeight="1">
      <c r="C668" s="30"/>
      <c r="I668" s="30"/>
      <c r="J668" s="30"/>
      <c r="M668" s="30"/>
      <c r="N668" s="30"/>
      <c r="P668" s="30"/>
    </row>
    <row r="669" ht="15.75" customHeight="1">
      <c r="C669" s="30"/>
      <c r="I669" s="30"/>
      <c r="J669" s="30"/>
      <c r="M669" s="30"/>
      <c r="N669" s="30"/>
      <c r="P669" s="30"/>
    </row>
    <row r="670" ht="15.75" customHeight="1">
      <c r="C670" s="30"/>
      <c r="I670" s="30"/>
      <c r="J670" s="30"/>
      <c r="M670" s="30"/>
      <c r="N670" s="30"/>
      <c r="P670" s="30"/>
    </row>
    <row r="671" ht="15.75" customHeight="1">
      <c r="C671" s="30"/>
      <c r="I671" s="30"/>
      <c r="J671" s="30"/>
      <c r="M671" s="30"/>
      <c r="N671" s="30"/>
      <c r="P671" s="30"/>
    </row>
    <row r="672" ht="15.75" customHeight="1">
      <c r="C672" s="30"/>
      <c r="I672" s="30"/>
      <c r="J672" s="30"/>
      <c r="M672" s="30"/>
      <c r="N672" s="30"/>
      <c r="P672" s="30"/>
    </row>
    <row r="673" ht="15.75" customHeight="1">
      <c r="C673" s="30"/>
      <c r="I673" s="30"/>
      <c r="J673" s="30"/>
      <c r="M673" s="30"/>
      <c r="N673" s="30"/>
      <c r="P673" s="30"/>
    </row>
    <row r="674" ht="15.75" customHeight="1">
      <c r="C674" s="30"/>
      <c r="I674" s="30"/>
      <c r="J674" s="30"/>
      <c r="M674" s="30"/>
      <c r="N674" s="30"/>
      <c r="P674" s="30"/>
    </row>
    <row r="675" ht="15.75" customHeight="1">
      <c r="C675" s="30"/>
      <c r="I675" s="30"/>
      <c r="J675" s="30"/>
      <c r="M675" s="30"/>
      <c r="N675" s="30"/>
      <c r="P675" s="30"/>
    </row>
    <row r="676" ht="15.75" customHeight="1">
      <c r="C676" s="30"/>
      <c r="I676" s="30"/>
      <c r="J676" s="30"/>
      <c r="M676" s="30"/>
      <c r="N676" s="30"/>
      <c r="P676" s="30"/>
    </row>
    <row r="677" ht="15.75" customHeight="1">
      <c r="C677" s="30"/>
      <c r="I677" s="30"/>
      <c r="J677" s="30"/>
      <c r="M677" s="30"/>
      <c r="N677" s="30"/>
      <c r="P677" s="30"/>
    </row>
    <row r="678" ht="15.75" customHeight="1">
      <c r="C678" s="30"/>
      <c r="I678" s="30"/>
      <c r="J678" s="30"/>
      <c r="M678" s="30"/>
      <c r="N678" s="30"/>
      <c r="P678" s="30"/>
    </row>
    <row r="679" ht="15.75" customHeight="1">
      <c r="C679" s="30"/>
      <c r="I679" s="30"/>
      <c r="J679" s="30"/>
      <c r="M679" s="30"/>
      <c r="N679" s="30"/>
      <c r="P679" s="30"/>
    </row>
    <row r="680" ht="15.75" customHeight="1">
      <c r="C680" s="30"/>
      <c r="I680" s="30"/>
      <c r="J680" s="30"/>
      <c r="M680" s="30"/>
      <c r="N680" s="30"/>
      <c r="P680" s="30"/>
    </row>
    <row r="681" ht="15.75" customHeight="1">
      <c r="C681" s="30"/>
      <c r="I681" s="30"/>
      <c r="J681" s="30"/>
      <c r="M681" s="30"/>
      <c r="N681" s="30"/>
      <c r="P681" s="30"/>
    </row>
    <row r="682" ht="15.75" customHeight="1">
      <c r="C682" s="30"/>
      <c r="I682" s="30"/>
      <c r="J682" s="30"/>
      <c r="M682" s="30"/>
      <c r="N682" s="30"/>
      <c r="P682" s="30"/>
    </row>
    <row r="683" ht="15.75" customHeight="1">
      <c r="C683" s="30"/>
      <c r="I683" s="30"/>
      <c r="J683" s="30"/>
      <c r="M683" s="30"/>
      <c r="N683" s="30"/>
      <c r="P683" s="30"/>
    </row>
    <row r="684" ht="15.75" customHeight="1">
      <c r="C684" s="30"/>
      <c r="I684" s="30"/>
      <c r="J684" s="30"/>
      <c r="M684" s="30"/>
      <c r="N684" s="30"/>
      <c r="P684" s="30"/>
    </row>
    <row r="685" ht="15.75" customHeight="1">
      <c r="C685" s="30"/>
      <c r="I685" s="30"/>
      <c r="J685" s="30"/>
      <c r="M685" s="30"/>
      <c r="N685" s="30"/>
      <c r="P685" s="30"/>
    </row>
    <row r="686" ht="15.75" customHeight="1">
      <c r="C686" s="30"/>
      <c r="I686" s="30"/>
      <c r="J686" s="30"/>
      <c r="M686" s="30"/>
      <c r="N686" s="30"/>
      <c r="P686" s="30"/>
    </row>
    <row r="687" ht="15.75" customHeight="1">
      <c r="C687" s="30"/>
      <c r="I687" s="30"/>
      <c r="J687" s="30"/>
      <c r="M687" s="30"/>
      <c r="N687" s="30"/>
      <c r="P687" s="30"/>
    </row>
    <row r="688" ht="15.75" customHeight="1">
      <c r="C688" s="30"/>
      <c r="I688" s="30"/>
      <c r="J688" s="30"/>
      <c r="M688" s="30"/>
      <c r="N688" s="30"/>
      <c r="P688" s="30"/>
    </row>
    <row r="689" ht="15.75" customHeight="1">
      <c r="C689" s="30"/>
      <c r="I689" s="30"/>
      <c r="J689" s="30"/>
      <c r="M689" s="30"/>
      <c r="N689" s="30"/>
      <c r="P689" s="30"/>
    </row>
    <row r="690" ht="15.75" customHeight="1">
      <c r="C690" s="30"/>
      <c r="I690" s="30"/>
      <c r="J690" s="30"/>
      <c r="M690" s="30"/>
      <c r="N690" s="30"/>
      <c r="P690" s="30"/>
    </row>
    <row r="691" ht="15.75" customHeight="1">
      <c r="C691" s="30"/>
      <c r="I691" s="30"/>
      <c r="J691" s="30"/>
      <c r="M691" s="30"/>
      <c r="N691" s="30"/>
      <c r="P691" s="30"/>
    </row>
    <row r="692" ht="15.75" customHeight="1">
      <c r="C692" s="30"/>
      <c r="I692" s="30"/>
      <c r="J692" s="30"/>
      <c r="M692" s="30"/>
      <c r="N692" s="30"/>
      <c r="P692" s="30"/>
    </row>
    <row r="693" ht="15.75" customHeight="1">
      <c r="C693" s="30"/>
      <c r="I693" s="30"/>
      <c r="J693" s="30"/>
      <c r="M693" s="30"/>
      <c r="N693" s="30"/>
      <c r="P693" s="30"/>
    </row>
    <row r="694" ht="15.75" customHeight="1">
      <c r="C694" s="30"/>
      <c r="I694" s="30"/>
      <c r="J694" s="30"/>
      <c r="M694" s="30"/>
      <c r="N694" s="30"/>
      <c r="P694" s="30"/>
    </row>
    <row r="695" ht="15.75" customHeight="1">
      <c r="C695" s="30"/>
      <c r="I695" s="30"/>
      <c r="J695" s="30"/>
      <c r="M695" s="30"/>
      <c r="N695" s="30"/>
      <c r="P695" s="30"/>
    </row>
    <row r="696" ht="15.75" customHeight="1">
      <c r="C696" s="30"/>
      <c r="I696" s="30"/>
      <c r="J696" s="30"/>
      <c r="M696" s="30"/>
      <c r="N696" s="30"/>
      <c r="P696" s="30"/>
    </row>
    <row r="697" ht="15.75" customHeight="1">
      <c r="C697" s="30"/>
      <c r="I697" s="30"/>
      <c r="J697" s="30"/>
      <c r="M697" s="30"/>
      <c r="N697" s="30"/>
      <c r="P697" s="30"/>
    </row>
    <row r="698" ht="15.75" customHeight="1">
      <c r="C698" s="30"/>
      <c r="I698" s="30"/>
      <c r="J698" s="30"/>
      <c r="M698" s="30"/>
      <c r="N698" s="30"/>
      <c r="P698" s="30"/>
    </row>
    <row r="699" ht="15.75" customHeight="1">
      <c r="C699" s="30"/>
      <c r="I699" s="30"/>
      <c r="J699" s="30"/>
      <c r="M699" s="30"/>
      <c r="N699" s="30"/>
      <c r="P699" s="30"/>
    </row>
    <row r="700" ht="15.75" customHeight="1">
      <c r="C700" s="30"/>
      <c r="I700" s="30"/>
      <c r="J700" s="30"/>
      <c r="M700" s="30"/>
      <c r="N700" s="30"/>
      <c r="P700" s="30"/>
    </row>
    <row r="701" ht="15.75" customHeight="1">
      <c r="C701" s="30"/>
      <c r="I701" s="30"/>
      <c r="J701" s="30"/>
      <c r="M701" s="30"/>
      <c r="N701" s="30"/>
      <c r="P701" s="30"/>
    </row>
    <row r="702" ht="15.75" customHeight="1">
      <c r="C702" s="30"/>
      <c r="I702" s="30"/>
      <c r="J702" s="30"/>
      <c r="M702" s="30"/>
      <c r="N702" s="30"/>
      <c r="P702" s="30"/>
    </row>
    <row r="703" ht="15.75" customHeight="1">
      <c r="C703" s="30"/>
      <c r="I703" s="30"/>
      <c r="J703" s="30"/>
      <c r="M703" s="30"/>
      <c r="N703" s="30"/>
      <c r="P703" s="30"/>
    </row>
    <row r="704" ht="15.75" customHeight="1">
      <c r="C704" s="30"/>
      <c r="I704" s="30"/>
      <c r="J704" s="30"/>
      <c r="M704" s="30"/>
      <c r="N704" s="30"/>
      <c r="P704" s="30"/>
    </row>
    <row r="705" ht="15.75" customHeight="1">
      <c r="C705" s="30"/>
      <c r="I705" s="30"/>
      <c r="J705" s="30"/>
      <c r="M705" s="30"/>
      <c r="N705" s="30"/>
      <c r="P705" s="30"/>
    </row>
    <row r="706" ht="15.75" customHeight="1">
      <c r="C706" s="30"/>
      <c r="I706" s="30"/>
      <c r="J706" s="30"/>
      <c r="M706" s="30"/>
      <c r="N706" s="30"/>
      <c r="P706" s="30"/>
    </row>
    <row r="707" ht="15.75" customHeight="1">
      <c r="C707" s="30"/>
      <c r="I707" s="30"/>
      <c r="J707" s="30"/>
      <c r="M707" s="30"/>
      <c r="N707" s="30"/>
      <c r="P707" s="30"/>
    </row>
    <row r="708" ht="15.75" customHeight="1">
      <c r="C708" s="30"/>
      <c r="I708" s="30"/>
      <c r="J708" s="30"/>
      <c r="M708" s="30"/>
      <c r="N708" s="30"/>
      <c r="P708" s="30"/>
    </row>
    <row r="709" ht="15.75" customHeight="1">
      <c r="C709" s="30"/>
      <c r="I709" s="30"/>
      <c r="J709" s="30"/>
      <c r="M709" s="30"/>
      <c r="N709" s="30"/>
      <c r="P709" s="30"/>
    </row>
    <row r="710" ht="15.75" customHeight="1">
      <c r="C710" s="30"/>
      <c r="I710" s="30"/>
      <c r="J710" s="30"/>
      <c r="M710" s="30"/>
      <c r="N710" s="30"/>
      <c r="P710" s="30"/>
    </row>
    <row r="711" ht="15.75" customHeight="1">
      <c r="C711" s="30"/>
      <c r="I711" s="30"/>
      <c r="J711" s="30"/>
      <c r="M711" s="30"/>
      <c r="N711" s="30"/>
      <c r="P711" s="30"/>
    </row>
    <row r="712" ht="15.75" customHeight="1">
      <c r="C712" s="30"/>
      <c r="I712" s="30"/>
      <c r="J712" s="30"/>
      <c r="M712" s="30"/>
      <c r="N712" s="30"/>
      <c r="P712" s="30"/>
    </row>
    <row r="713" ht="15.75" customHeight="1">
      <c r="C713" s="30"/>
      <c r="I713" s="30"/>
      <c r="J713" s="30"/>
      <c r="M713" s="30"/>
      <c r="N713" s="30"/>
      <c r="P713" s="30"/>
    </row>
    <row r="714" ht="15.75" customHeight="1">
      <c r="C714" s="30"/>
      <c r="I714" s="30"/>
      <c r="J714" s="30"/>
      <c r="M714" s="30"/>
      <c r="N714" s="30"/>
      <c r="P714" s="30"/>
    </row>
    <row r="715" ht="15.75" customHeight="1">
      <c r="C715" s="30"/>
      <c r="I715" s="30"/>
      <c r="J715" s="30"/>
      <c r="M715" s="30"/>
      <c r="N715" s="30"/>
      <c r="P715" s="30"/>
    </row>
    <row r="716" ht="15.75" customHeight="1">
      <c r="C716" s="30"/>
      <c r="I716" s="30"/>
      <c r="J716" s="30"/>
      <c r="M716" s="30"/>
      <c r="N716" s="30"/>
      <c r="P716" s="30"/>
    </row>
    <row r="717" ht="15.75" customHeight="1">
      <c r="C717" s="30"/>
      <c r="I717" s="30"/>
      <c r="J717" s="30"/>
      <c r="M717" s="30"/>
      <c r="N717" s="30"/>
      <c r="P717" s="30"/>
    </row>
    <row r="718" ht="15.75" customHeight="1">
      <c r="C718" s="30"/>
      <c r="I718" s="30"/>
      <c r="J718" s="30"/>
      <c r="M718" s="30"/>
      <c r="N718" s="30"/>
      <c r="P718" s="30"/>
    </row>
    <row r="719" ht="15.75" customHeight="1">
      <c r="C719" s="30"/>
      <c r="I719" s="30"/>
      <c r="J719" s="30"/>
      <c r="M719" s="30"/>
      <c r="N719" s="30"/>
      <c r="P719" s="30"/>
    </row>
    <row r="720" ht="15.75" customHeight="1">
      <c r="C720" s="30"/>
      <c r="I720" s="30"/>
      <c r="J720" s="30"/>
      <c r="M720" s="30"/>
      <c r="N720" s="30"/>
      <c r="P720" s="30"/>
    </row>
    <row r="721" ht="15.75" customHeight="1">
      <c r="C721" s="30"/>
      <c r="I721" s="30"/>
      <c r="J721" s="30"/>
      <c r="M721" s="30"/>
      <c r="N721" s="30"/>
      <c r="P721" s="30"/>
    </row>
    <row r="722" ht="15.75" customHeight="1">
      <c r="C722" s="30"/>
      <c r="I722" s="30"/>
      <c r="J722" s="30"/>
      <c r="M722" s="30"/>
      <c r="N722" s="30"/>
      <c r="P722" s="30"/>
    </row>
    <row r="723" ht="15.75" customHeight="1">
      <c r="C723" s="30"/>
      <c r="I723" s="30"/>
      <c r="J723" s="30"/>
      <c r="M723" s="30"/>
      <c r="N723" s="30"/>
      <c r="P723" s="30"/>
    </row>
    <row r="724" ht="15.75" customHeight="1">
      <c r="C724" s="30"/>
      <c r="I724" s="30"/>
      <c r="J724" s="30"/>
      <c r="M724" s="30"/>
      <c r="N724" s="30"/>
      <c r="P724" s="30"/>
    </row>
    <row r="725" ht="15.75" customHeight="1">
      <c r="C725" s="30"/>
      <c r="I725" s="30"/>
      <c r="J725" s="30"/>
      <c r="M725" s="30"/>
      <c r="N725" s="30"/>
      <c r="P725" s="30"/>
    </row>
    <row r="726" ht="15.75" customHeight="1">
      <c r="C726" s="30"/>
      <c r="I726" s="30"/>
      <c r="J726" s="30"/>
      <c r="M726" s="30"/>
      <c r="N726" s="30"/>
      <c r="P726" s="30"/>
    </row>
    <row r="727" ht="15.75" customHeight="1">
      <c r="C727" s="30"/>
      <c r="I727" s="30"/>
      <c r="J727" s="30"/>
      <c r="M727" s="30"/>
      <c r="N727" s="30"/>
      <c r="P727" s="30"/>
    </row>
    <row r="728" ht="15.75" customHeight="1">
      <c r="C728" s="30"/>
      <c r="I728" s="30"/>
      <c r="J728" s="30"/>
      <c r="M728" s="30"/>
      <c r="N728" s="30"/>
      <c r="P728" s="30"/>
    </row>
    <row r="729" ht="15.75" customHeight="1">
      <c r="C729" s="30"/>
      <c r="I729" s="30"/>
      <c r="J729" s="30"/>
      <c r="M729" s="30"/>
      <c r="N729" s="30"/>
      <c r="P729" s="30"/>
    </row>
    <row r="730" ht="15.75" customHeight="1">
      <c r="C730" s="30"/>
      <c r="I730" s="30"/>
      <c r="J730" s="30"/>
      <c r="M730" s="30"/>
      <c r="N730" s="30"/>
      <c r="P730" s="30"/>
    </row>
    <row r="731" ht="15.75" customHeight="1">
      <c r="C731" s="30"/>
      <c r="I731" s="30"/>
      <c r="J731" s="30"/>
      <c r="M731" s="30"/>
      <c r="N731" s="30"/>
      <c r="P731" s="30"/>
    </row>
    <row r="732" ht="15.75" customHeight="1">
      <c r="C732" s="30"/>
      <c r="I732" s="30"/>
      <c r="J732" s="30"/>
      <c r="M732" s="30"/>
      <c r="N732" s="30"/>
      <c r="P732" s="30"/>
    </row>
    <row r="733" ht="15.75" customHeight="1">
      <c r="C733" s="30"/>
      <c r="I733" s="30"/>
      <c r="J733" s="30"/>
      <c r="M733" s="30"/>
      <c r="N733" s="30"/>
      <c r="P733" s="30"/>
    </row>
    <row r="734" ht="15.75" customHeight="1">
      <c r="C734" s="30"/>
      <c r="I734" s="30"/>
      <c r="J734" s="30"/>
      <c r="M734" s="30"/>
      <c r="N734" s="30"/>
      <c r="P734" s="30"/>
    </row>
    <row r="735" ht="15.75" customHeight="1">
      <c r="C735" s="30"/>
      <c r="I735" s="30"/>
      <c r="J735" s="30"/>
      <c r="M735" s="30"/>
      <c r="N735" s="30"/>
      <c r="P735" s="30"/>
    </row>
    <row r="736" ht="15.75" customHeight="1">
      <c r="C736" s="30"/>
      <c r="I736" s="30"/>
      <c r="J736" s="30"/>
      <c r="M736" s="30"/>
      <c r="N736" s="30"/>
      <c r="P736" s="30"/>
    </row>
    <row r="737" ht="15.75" customHeight="1">
      <c r="C737" s="30"/>
      <c r="I737" s="30"/>
      <c r="J737" s="30"/>
      <c r="M737" s="30"/>
      <c r="N737" s="30"/>
      <c r="P737" s="30"/>
    </row>
    <row r="738" ht="15.75" customHeight="1">
      <c r="C738" s="30"/>
      <c r="I738" s="30"/>
      <c r="J738" s="30"/>
      <c r="M738" s="30"/>
      <c r="N738" s="30"/>
      <c r="P738" s="30"/>
    </row>
    <row r="739" ht="15.75" customHeight="1">
      <c r="C739" s="30"/>
      <c r="I739" s="30"/>
      <c r="J739" s="30"/>
      <c r="M739" s="30"/>
      <c r="N739" s="30"/>
      <c r="P739" s="30"/>
    </row>
    <row r="740" ht="15.75" customHeight="1">
      <c r="C740" s="30"/>
      <c r="I740" s="30"/>
      <c r="J740" s="30"/>
      <c r="M740" s="30"/>
      <c r="N740" s="30"/>
      <c r="P740" s="30"/>
    </row>
    <row r="741" ht="15.75" customHeight="1">
      <c r="C741" s="30"/>
      <c r="I741" s="30"/>
      <c r="J741" s="30"/>
      <c r="M741" s="30"/>
      <c r="N741" s="30"/>
      <c r="P741" s="30"/>
    </row>
    <row r="742" ht="15.75" customHeight="1">
      <c r="C742" s="30"/>
      <c r="I742" s="30"/>
      <c r="J742" s="30"/>
      <c r="M742" s="30"/>
      <c r="N742" s="30"/>
      <c r="P742" s="30"/>
    </row>
    <row r="743" ht="15.75" customHeight="1">
      <c r="C743" s="30"/>
      <c r="I743" s="30"/>
      <c r="J743" s="30"/>
      <c r="M743" s="30"/>
      <c r="N743" s="30"/>
      <c r="P743" s="30"/>
    </row>
    <row r="744" ht="15.75" customHeight="1">
      <c r="C744" s="30"/>
      <c r="I744" s="30"/>
      <c r="J744" s="30"/>
      <c r="M744" s="30"/>
      <c r="N744" s="30"/>
      <c r="P744" s="30"/>
    </row>
    <row r="745" ht="15.75" customHeight="1">
      <c r="C745" s="30"/>
      <c r="I745" s="30"/>
      <c r="J745" s="30"/>
      <c r="M745" s="30"/>
      <c r="N745" s="30"/>
      <c r="P745" s="30"/>
    </row>
    <row r="746" ht="15.75" customHeight="1">
      <c r="C746" s="30"/>
      <c r="I746" s="30"/>
      <c r="J746" s="30"/>
      <c r="M746" s="30"/>
      <c r="N746" s="30"/>
      <c r="P746" s="30"/>
    </row>
    <row r="747" ht="15.75" customHeight="1">
      <c r="C747" s="30"/>
      <c r="I747" s="30"/>
      <c r="J747" s="30"/>
      <c r="M747" s="30"/>
      <c r="N747" s="30"/>
      <c r="P747" s="30"/>
    </row>
    <row r="748" ht="15.75" customHeight="1">
      <c r="C748" s="30"/>
      <c r="I748" s="30"/>
      <c r="J748" s="30"/>
      <c r="M748" s="30"/>
      <c r="N748" s="30"/>
      <c r="P748" s="30"/>
    </row>
    <row r="749" ht="15.75" customHeight="1">
      <c r="C749" s="30"/>
      <c r="I749" s="30"/>
      <c r="J749" s="30"/>
      <c r="M749" s="30"/>
      <c r="N749" s="30"/>
      <c r="P749" s="30"/>
    </row>
    <row r="750" ht="15.75" customHeight="1">
      <c r="C750" s="30"/>
      <c r="I750" s="30"/>
      <c r="J750" s="30"/>
      <c r="M750" s="30"/>
      <c r="N750" s="30"/>
      <c r="P750" s="30"/>
    </row>
    <row r="751" ht="15.75" customHeight="1">
      <c r="C751" s="30"/>
      <c r="I751" s="30"/>
      <c r="J751" s="30"/>
      <c r="M751" s="30"/>
      <c r="N751" s="30"/>
      <c r="P751" s="30"/>
    </row>
    <row r="752" ht="15.75" customHeight="1">
      <c r="C752" s="30"/>
      <c r="I752" s="30"/>
      <c r="J752" s="30"/>
      <c r="M752" s="30"/>
      <c r="N752" s="30"/>
      <c r="P752" s="30"/>
    </row>
    <row r="753" ht="15.75" customHeight="1">
      <c r="C753" s="30"/>
      <c r="I753" s="30"/>
      <c r="J753" s="30"/>
      <c r="M753" s="30"/>
      <c r="N753" s="30"/>
      <c r="P753" s="30"/>
    </row>
    <row r="754" ht="15.75" customHeight="1">
      <c r="C754" s="30"/>
      <c r="I754" s="30"/>
      <c r="J754" s="30"/>
      <c r="M754" s="30"/>
      <c r="N754" s="30"/>
      <c r="P754" s="30"/>
    </row>
    <row r="755" ht="15.75" customHeight="1">
      <c r="C755" s="30"/>
      <c r="I755" s="30"/>
      <c r="J755" s="30"/>
      <c r="M755" s="30"/>
      <c r="N755" s="30"/>
      <c r="P755" s="30"/>
    </row>
    <row r="756" ht="15.75" customHeight="1">
      <c r="C756" s="30"/>
      <c r="I756" s="30"/>
      <c r="J756" s="30"/>
      <c r="M756" s="30"/>
      <c r="N756" s="30"/>
      <c r="P756" s="30"/>
    </row>
    <row r="757" ht="15.75" customHeight="1">
      <c r="C757" s="30"/>
      <c r="I757" s="30"/>
      <c r="J757" s="30"/>
      <c r="M757" s="30"/>
      <c r="N757" s="30"/>
      <c r="P757" s="30"/>
    </row>
    <row r="758" ht="15.75" customHeight="1">
      <c r="C758" s="30"/>
      <c r="I758" s="30"/>
      <c r="J758" s="30"/>
      <c r="M758" s="30"/>
      <c r="N758" s="30"/>
      <c r="P758" s="30"/>
    </row>
    <row r="759" ht="15.75" customHeight="1">
      <c r="C759" s="30"/>
      <c r="I759" s="30"/>
      <c r="J759" s="30"/>
      <c r="M759" s="30"/>
      <c r="N759" s="30"/>
      <c r="P759" s="30"/>
    </row>
    <row r="760" ht="15.75" customHeight="1">
      <c r="C760" s="30"/>
      <c r="I760" s="30"/>
      <c r="J760" s="30"/>
      <c r="M760" s="30"/>
      <c r="N760" s="30"/>
      <c r="P760" s="30"/>
    </row>
    <row r="761" ht="15.75" customHeight="1">
      <c r="C761" s="30"/>
      <c r="I761" s="30"/>
      <c r="J761" s="30"/>
      <c r="M761" s="30"/>
      <c r="N761" s="30"/>
      <c r="P761" s="30"/>
    </row>
    <row r="762" ht="15.75" customHeight="1">
      <c r="C762" s="30"/>
      <c r="I762" s="30"/>
      <c r="J762" s="30"/>
      <c r="M762" s="30"/>
      <c r="N762" s="30"/>
      <c r="P762" s="30"/>
    </row>
    <row r="763" ht="15.75" customHeight="1">
      <c r="C763" s="30"/>
      <c r="I763" s="30"/>
      <c r="J763" s="30"/>
      <c r="M763" s="30"/>
      <c r="N763" s="30"/>
      <c r="P763" s="30"/>
    </row>
    <row r="764" ht="15.75" customHeight="1">
      <c r="C764" s="30"/>
      <c r="I764" s="30"/>
      <c r="J764" s="30"/>
      <c r="M764" s="30"/>
      <c r="N764" s="30"/>
      <c r="P764" s="30"/>
    </row>
    <row r="765" ht="15.75" customHeight="1">
      <c r="C765" s="30"/>
      <c r="I765" s="30"/>
      <c r="J765" s="30"/>
      <c r="M765" s="30"/>
      <c r="N765" s="30"/>
      <c r="P765" s="30"/>
    </row>
    <row r="766" ht="15.75" customHeight="1">
      <c r="C766" s="30"/>
      <c r="I766" s="30"/>
      <c r="J766" s="30"/>
      <c r="M766" s="30"/>
      <c r="N766" s="30"/>
      <c r="P766" s="30"/>
    </row>
    <row r="767" ht="15.75" customHeight="1">
      <c r="C767" s="30"/>
      <c r="I767" s="30"/>
      <c r="J767" s="30"/>
      <c r="M767" s="30"/>
      <c r="N767" s="30"/>
      <c r="P767" s="30"/>
    </row>
    <row r="768" ht="15.75" customHeight="1">
      <c r="C768" s="30"/>
      <c r="I768" s="30"/>
      <c r="J768" s="30"/>
      <c r="M768" s="30"/>
      <c r="N768" s="30"/>
      <c r="P768" s="30"/>
    </row>
    <row r="769" ht="15.75" customHeight="1">
      <c r="C769" s="30"/>
      <c r="I769" s="30"/>
      <c r="J769" s="30"/>
      <c r="M769" s="30"/>
      <c r="N769" s="30"/>
      <c r="P769" s="30"/>
    </row>
    <row r="770" ht="15.75" customHeight="1">
      <c r="C770" s="30"/>
      <c r="I770" s="30"/>
      <c r="J770" s="30"/>
      <c r="M770" s="30"/>
      <c r="N770" s="30"/>
      <c r="P770" s="30"/>
    </row>
    <row r="771" ht="15.75" customHeight="1">
      <c r="C771" s="30"/>
      <c r="I771" s="30"/>
      <c r="J771" s="30"/>
      <c r="M771" s="30"/>
      <c r="N771" s="30"/>
      <c r="P771" s="30"/>
    </row>
    <row r="772" ht="15.75" customHeight="1">
      <c r="C772" s="30"/>
      <c r="I772" s="30"/>
      <c r="J772" s="30"/>
      <c r="M772" s="30"/>
      <c r="N772" s="30"/>
      <c r="P772" s="30"/>
    </row>
    <row r="773" ht="15.75" customHeight="1">
      <c r="C773" s="30"/>
      <c r="I773" s="30"/>
      <c r="J773" s="30"/>
      <c r="M773" s="30"/>
      <c r="N773" s="30"/>
      <c r="P773" s="30"/>
    </row>
    <row r="774" ht="15.75" customHeight="1">
      <c r="C774" s="30"/>
      <c r="I774" s="30"/>
      <c r="J774" s="30"/>
      <c r="M774" s="30"/>
      <c r="N774" s="30"/>
      <c r="P774" s="30"/>
    </row>
    <row r="775" ht="15.75" customHeight="1">
      <c r="C775" s="30"/>
      <c r="I775" s="30"/>
      <c r="J775" s="30"/>
      <c r="M775" s="30"/>
      <c r="N775" s="30"/>
      <c r="P775" s="30"/>
    </row>
    <row r="776" ht="15.75" customHeight="1">
      <c r="C776" s="30"/>
      <c r="I776" s="30"/>
      <c r="J776" s="30"/>
      <c r="M776" s="30"/>
      <c r="N776" s="30"/>
      <c r="P776" s="30"/>
    </row>
    <row r="777" ht="15.75" customHeight="1">
      <c r="C777" s="30"/>
      <c r="I777" s="30"/>
      <c r="J777" s="30"/>
      <c r="M777" s="30"/>
      <c r="N777" s="30"/>
      <c r="P777" s="30"/>
    </row>
    <row r="778" ht="15.75" customHeight="1">
      <c r="C778" s="30"/>
      <c r="I778" s="30"/>
      <c r="J778" s="30"/>
      <c r="M778" s="30"/>
      <c r="N778" s="30"/>
      <c r="P778" s="30"/>
    </row>
    <row r="779" ht="15.75" customHeight="1">
      <c r="C779" s="30"/>
      <c r="I779" s="30"/>
      <c r="J779" s="30"/>
      <c r="M779" s="30"/>
      <c r="N779" s="30"/>
      <c r="P779" s="30"/>
    </row>
    <row r="780" ht="15.75" customHeight="1">
      <c r="C780" s="30"/>
      <c r="I780" s="30"/>
      <c r="J780" s="30"/>
      <c r="M780" s="30"/>
      <c r="N780" s="30"/>
      <c r="P780" s="30"/>
    </row>
    <row r="781" ht="15.75" customHeight="1">
      <c r="C781" s="30"/>
      <c r="I781" s="30"/>
      <c r="J781" s="30"/>
      <c r="M781" s="30"/>
      <c r="N781" s="30"/>
      <c r="P781" s="30"/>
    </row>
    <row r="782" ht="15.75" customHeight="1">
      <c r="C782" s="30"/>
      <c r="I782" s="30"/>
      <c r="J782" s="30"/>
      <c r="M782" s="30"/>
      <c r="N782" s="30"/>
      <c r="P782" s="30"/>
    </row>
    <row r="783" ht="15.75" customHeight="1">
      <c r="C783" s="30"/>
      <c r="I783" s="30"/>
      <c r="J783" s="30"/>
      <c r="M783" s="30"/>
      <c r="N783" s="30"/>
      <c r="P783" s="30"/>
    </row>
    <row r="784" ht="15.75" customHeight="1">
      <c r="C784" s="30"/>
      <c r="I784" s="30"/>
      <c r="J784" s="30"/>
      <c r="M784" s="30"/>
      <c r="N784" s="30"/>
      <c r="P784" s="30"/>
    </row>
    <row r="785" ht="15.75" customHeight="1">
      <c r="C785" s="30"/>
      <c r="I785" s="30"/>
      <c r="J785" s="30"/>
      <c r="M785" s="30"/>
      <c r="N785" s="30"/>
      <c r="P785" s="30"/>
    </row>
    <row r="786" ht="15.75" customHeight="1">
      <c r="C786" s="30"/>
      <c r="I786" s="30"/>
      <c r="J786" s="30"/>
      <c r="M786" s="30"/>
      <c r="N786" s="30"/>
      <c r="P786" s="30"/>
    </row>
    <row r="787" ht="15.75" customHeight="1">
      <c r="C787" s="30"/>
      <c r="I787" s="30"/>
      <c r="J787" s="30"/>
      <c r="M787" s="30"/>
      <c r="N787" s="30"/>
      <c r="P787" s="30"/>
    </row>
    <row r="788" ht="15.75" customHeight="1">
      <c r="C788" s="30"/>
      <c r="I788" s="30"/>
      <c r="J788" s="30"/>
      <c r="M788" s="30"/>
      <c r="N788" s="30"/>
      <c r="P788" s="30"/>
    </row>
    <row r="789" ht="15.75" customHeight="1">
      <c r="C789" s="30"/>
      <c r="I789" s="30"/>
      <c r="J789" s="30"/>
      <c r="M789" s="30"/>
      <c r="N789" s="30"/>
      <c r="P789" s="30"/>
    </row>
    <row r="790" ht="15.75" customHeight="1">
      <c r="C790" s="30"/>
      <c r="I790" s="30"/>
      <c r="J790" s="30"/>
      <c r="M790" s="30"/>
      <c r="N790" s="30"/>
      <c r="P790" s="30"/>
    </row>
    <row r="791" ht="15.75" customHeight="1">
      <c r="C791" s="30"/>
      <c r="I791" s="30"/>
      <c r="J791" s="30"/>
      <c r="M791" s="30"/>
      <c r="N791" s="30"/>
      <c r="P791" s="30"/>
    </row>
    <row r="792" ht="15.75" customHeight="1">
      <c r="C792" s="30"/>
      <c r="I792" s="30"/>
      <c r="J792" s="30"/>
      <c r="M792" s="30"/>
      <c r="N792" s="30"/>
      <c r="P792" s="30"/>
    </row>
    <row r="793" ht="15.75" customHeight="1">
      <c r="C793" s="30"/>
      <c r="I793" s="30"/>
      <c r="J793" s="30"/>
      <c r="M793" s="30"/>
      <c r="N793" s="30"/>
      <c r="P793" s="30"/>
    </row>
    <row r="794" ht="15.75" customHeight="1">
      <c r="C794" s="30"/>
      <c r="I794" s="30"/>
      <c r="J794" s="30"/>
      <c r="M794" s="30"/>
      <c r="N794" s="30"/>
      <c r="P794" s="30"/>
    </row>
    <row r="795" ht="15.75" customHeight="1">
      <c r="C795" s="30"/>
      <c r="I795" s="30"/>
      <c r="J795" s="30"/>
      <c r="M795" s="30"/>
      <c r="N795" s="30"/>
      <c r="P795" s="30"/>
    </row>
    <row r="796" ht="15.75" customHeight="1">
      <c r="C796" s="30"/>
      <c r="I796" s="30"/>
      <c r="J796" s="30"/>
      <c r="M796" s="30"/>
      <c r="N796" s="30"/>
      <c r="P796" s="30"/>
    </row>
    <row r="797" ht="15.75" customHeight="1">
      <c r="C797" s="30"/>
      <c r="I797" s="30"/>
      <c r="J797" s="30"/>
      <c r="M797" s="30"/>
      <c r="N797" s="30"/>
      <c r="P797" s="30"/>
    </row>
    <row r="798" ht="15.75" customHeight="1">
      <c r="C798" s="30"/>
      <c r="I798" s="30"/>
      <c r="J798" s="30"/>
      <c r="M798" s="30"/>
      <c r="N798" s="30"/>
      <c r="P798" s="30"/>
    </row>
    <row r="799" ht="15.75" customHeight="1">
      <c r="C799" s="30"/>
      <c r="I799" s="30"/>
      <c r="J799" s="30"/>
      <c r="M799" s="30"/>
      <c r="N799" s="30"/>
      <c r="P799" s="30"/>
    </row>
    <row r="800" ht="15.75" customHeight="1">
      <c r="C800" s="30"/>
      <c r="I800" s="30"/>
      <c r="J800" s="30"/>
      <c r="M800" s="30"/>
      <c r="N800" s="30"/>
      <c r="P800" s="30"/>
    </row>
    <row r="801" ht="15.75" customHeight="1">
      <c r="C801" s="30"/>
      <c r="I801" s="30"/>
      <c r="J801" s="30"/>
      <c r="M801" s="30"/>
      <c r="N801" s="30"/>
      <c r="P801" s="30"/>
    </row>
    <row r="802" ht="15.75" customHeight="1">
      <c r="C802" s="30"/>
      <c r="I802" s="30"/>
      <c r="J802" s="30"/>
      <c r="M802" s="30"/>
      <c r="N802" s="30"/>
      <c r="P802" s="30"/>
    </row>
    <row r="803" ht="15.75" customHeight="1">
      <c r="C803" s="30"/>
      <c r="I803" s="30"/>
      <c r="J803" s="30"/>
      <c r="M803" s="30"/>
      <c r="N803" s="30"/>
      <c r="P803" s="30"/>
    </row>
    <row r="804" ht="15.75" customHeight="1">
      <c r="C804" s="30"/>
      <c r="I804" s="30"/>
      <c r="J804" s="30"/>
      <c r="M804" s="30"/>
      <c r="N804" s="30"/>
      <c r="P804" s="30"/>
    </row>
    <row r="805" ht="15.75" customHeight="1">
      <c r="C805" s="30"/>
      <c r="I805" s="30"/>
      <c r="J805" s="30"/>
      <c r="M805" s="30"/>
      <c r="N805" s="30"/>
      <c r="P805" s="30"/>
    </row>
    <row r="806" ht="15.75" customHeight="1">
      <c r="C806" s="30"/>
      <c r="I806" s="30"/>
      <c r="J806" s="30"/>
      <c r="M806" s="30"/>
      <c r="N806" s="30"/>
      <c r="P806" s="30"/>
    </row>
    <row r="807" ht="15.75" customHeight="1">
      <c r="C807" s="30"/>
      <c r="I807" s="30"/>
      <c r="J807" s="30"/>
      <c r="M807" s="30"/>
      <c r="N807" s="30"/>
      <c r="P807" s="30"/>
    </row>
    <row r="808" ht="15.75" customHeight="1">
      <c r="C808" s="30"/>
      <c r="I808" s="30"/>
      <c r="J808" s="30"/>
      <c r="M808" s="30"/>
      <c r="N808" s="30"/>
      <c r="P808" s="30"/>
    </row>
    <row r="809" ht="15.75" customHeight="1">
      <c r="C809" s="30"/>
      <c r="I809" s="30"/>
      <c r="J809" s="30"/>
      <c r="M809" s="30"/>
      <c r="N809" s="30"/>
      <c r="P809" s="30"/>
    </row>
    <row r="810" ht="15.75" customHeight="1">
      <c r="C810" s="30"/>
      <c r="I810" s="30"/>
      <c r="J810" s="30"/>
      <c r="M810" s="30"/>
      <c r="N810" s="30"/>
      <c r="P810" s="30"/>
    </row>
    <row r="811" ht="15.75" customHeight="1">
      <c r="C811" s="30"/>
      <c r="I811" s="30"/>
      <c r="J811" s="30"/>
      <c r="M811" s="30"/>
      <c r="N811" s="30"/>
      <c r="P811" s="30"/>
    </row>
    <row r="812" ht="15.75" customHeight="1">
      <c r="C812" s="30"/>
      <c r="I812" s="30"/>
      <c r="J812" s="30"/>
      <c r="M812" s="30"/>
      <c r="N812" s="30"/>
      <c r="P812" s="30"/>
    </row>
    <row r="813" ht="15.75" customHeight="1">
      <c r="C813" s="30"/>
      <c r="I813" s="30"/>
      <c r="J813" s="30"/>
      <c r="M813" s="30"/>
      <c r="N813" s="30"/>
      <c r="P813" s="30"/>
    </row>
    <row r="814" ht="15.75" customHeight="1">
      <c r="C814" s="30"/>
      <c r="I814" s="30"/>
      <c r="J814" s="30"/>
      <c r="M814" s="30"/>
      <c r="N814" s="30"/>
      <c r="P814" s="30"/>
    </row>
    <row r="815" ht="15.75" customHeight="1">
      <c r="C815" s="30"/>
      <c r="I815" s="30"/>
      <c r="J815" s="30"/>
      <c r="M815" s="30"/>
      <c r="N815" s="30"/>
      <c r="P815" s="30"/>
    </row>
    <row r="816" ht="15.75" customHeight="1">
      <c r="C816" s="30"/>
      <c r="I816" s="30"/>
      <c r="J816" s="30"/>
      <c r="M816" s="30"/>
      <c r="N816" s="30"/>
      <c r="P816" s="30"/>
    </row>
    <row r="817" ht="15.75" customHeight="1">
      <c r="C817" s="30"/>
      <c r="I817" s="30"/>
      <c r="J817" s="30"/>
      <c r="M817" s="30"/>
      <c r="N817" s="30"/>
      <c r="P817" s="30"/>
    </row>
    <row r="818" ht="15.75" customHeight="1">
      <c r="C818" s="30"/>
      <c r="I818" s="30"/>
      <c r="J818" s="30"/>
      <c r="M818" s="30"/>
      <c r="N818" s="30"/>
      <c r="P818" s="30"/>
    </row>
    <row r="819" ht="15.75" customHeight="1">
      <c r="C819" s="30"/>
      <c r="I819" s="30"/>
      <c r="J819" s="30"/>
      <c r="M819" s="30"/>
      <c r="N819" s="30"/>
      <c r="P819" s="30"/>
    </row>
    <row r="820" ht="15.75" customHeight="1">
      <c r="C820" s="30"/>
      <c r="I820" s="30"/>
      <c r="J820" s="30"/>
      <c r="M820" s="30"/>
      <c r="N820" s="30"/>
      <c r="P820" s="30"/>
    </row>
    <row r="821" ht="15.75" customHeight="1">
      <c r="C821" s="30"/>
      <c r="I821" s="30"/>
      <c r="J821" s="30"/>
      <c r="M821" s="30"/>
      <c r="N821" s="30"/>
      <c r="P821" s="30"/>
    </row>
    <row r="822" ht="15.75" customHeight="1">
      <c r="C822" s="30"/>
      <c r="I822" s="30"/>
      <c r="J822" s="30"/>
      <c r="M822" s="30"/>
      <c r="N822" s="30"/>
      <c r="P822" s="30"/>
    </row>
    <row r="823" ht="15.75" customHeight="1">
      <c r="C823" s="30"/>
      <c r="I823" s="30"/>
      <c r="J823" s="30"/>
      <c r="M823" s="30"/>
      <c r="N823" s="30"/>
      <c r="P823" s="30"/>
    </row>
    <row r="824" ht="15.75" customHeight="1">
      <c r="C824" s="30"/>
      <c r="I824" s="30"/>
      <c r="J824" s="30"/>
      <c r="M824" s="30"/>
      <c r="N824" s="30"/>
      <c r="P824" s="30"/>
    </row>
    <row r="825" ht="15.75" customHeight="1">
      <c r="C825" s="30"/>
      <c r="I825" s="30"/>
      <c r="J825" s="30"/>
      <c r="M825" s="30"/>
      <c r="N825" s="30"/>
      <c r="P825" s="30"/>
    </row>
    <row r="826" ht="15.75" customHeight="1">
      <c r="C826" s="30"/>
      <c r="I826" s="30"/>
      <c r="J826" s="30"/>
      <c r="M826" s="30"/>
      <c r="N826" s="30"/>
      <c r="P826" s="30"/>
    </row>
    <row r="827" ht="15.75" customHeight="1">
      <c r="C827" s="30"/>
      <c r="I827" s="30"/>
      <c r="J827" s="30"/>
      <c r="M827" s="30"/>
      <c r="N827" s="30"/>
      <c r="P827" s="30"/>
    </row>
    <row r="828" ht="15.75" customHeight="1">
      <c r="C828" s="30"/>
      <c r="I828" s="30"/>
      <c r="J828" s="30"/>
      <c r="M828" s="30"/>
      <c r="N828" s="30"/>
      <c r="P828" s="30"/>
    </row>
    <row r="829" ht="15.75" customHeight="1">
      <c r="C829" s="30"/>
      <c r="I829" s="30"/>
      <c r="J829" s="30"/>
      <c r="M829" s="30"/>
      <c r="N829" s="30"/>
      <c r="P829" s="30"/>
    </row>
    <row r="830" ht="15.75" customHeight="1">
      <c r="C830" s="30"/>
      <c r="I830" s="30"/>
      <c r="J830" s="30"/>
      <c r="M830" s="30"/>
      <c r="N830" s="30"/>
      <c r="P830" s="30"/>
    </row>
    <row r="831" ht="15.75" customHeight="1">
      <c r="C831" s="30"/>
      <c r="I831" s="30"/>
      <c r="J831" s="30"/>
      <c r="M831" s="30"/>
      <c r="N831" s="30"/>
      <c r="P831" s="30"/>
    </row>
    <row r="832" ht="15.75" customHeight="1">
      <c r="C832" s="30"/>
      <c r="I832" s="30"/>
      <c r="J832" s="30"/>
      <c r="M832" s="30"/>
      <c r="N832" s="30"/>
      <c r="P832" s="30"/>
    </row>
    <row r="833" ht="15.75" customHeight="1">
      <c r="C833" s="30"/>
      <c r="I833" s="30"/>
      <c r="J833" s="30"/>
      <c r="M833" s="30"/>
      <c r="N833" s="30"/>
      <c r="P833" s="30"/>
    </row>
    <row r="834" ht="15.75" customHeight="1">
      <c r="C834" s="30"/>
      <c r="I834" s="30"/>
      <c r="J834" s="30"/>
      <c r="M834" s="30"/>
      <c r="N834" s="30"/>
      <c r="P834" s="30"/>
    </row>
    <row r="835" ht="15.75" customHeight="1">
      <c r="C835" s="30"/>
      <c r="I835" s="30"/>
      <c r="J835" s="30"/>
      <c r="M835" s="30"/>
      <c r="N835" s="30"/>
      <c r="P835" s="30"/>
    </row>
    <row r="836" ht="15.75" customHeight="1">
      <c r="C836" s="30"/>
      <c r="I836" s="30"/>
      <c r="J836" s="30"/>
      <c r="M836" s="30"/>
      <c r="N836" s="30"/>
      <c r="P836" s="30"/>
    </row>
    <row r="837" ht="15.75" customHeight="1">
      <c r="C837" s="30"/>
      <c r="I837" s="30"/>
      <c r="J837" s="30"/>
      <c r="M837" s="30"/>
      <c r="N837" s="30"/>
      <c r="P837" s="30"/>
    </row>
    <row r="838" ht="15.75" customHeight="1">
      <c r="C838" s="30"/>
      <c r="I838" s="30"/>
      <c r="J838" s="30"/>
      <c r="M838" s="30"/>
      <c r="N838" s="30"/>
      <c r="P838" s="30"/>
    </row>
    <row r="839" ht="15.75" customHeight="1">
      <c r="C839" s="30"/>
      <c r="I839" s="30"/>
      <c r="J839" s="30"/>
      <c r="M839" s="30"/>
      <c r="N839" s="30"/>
      <c r="P839" s="30"/>
    </row>
    <row r="840" ht="15.75" customHeight="1">
      <c r="C840" s="30"/>
      <c r="I840" s="30"/>
      <c r="J840" s="30"/>
      <c r="M840" s="30"/>
      <c r="N840" s="30"/>
      <c r="P840" s="30"/>
    </row>
    <row r="841" ht="15.75" customHeight="1">
      <c r="C841" s="30"/>
      <c r="I841" s="30"/>
      <c r="J841" s="30"/>
      <c r="M841" s="30"/>
      <c r="N841" s="30"/>
      <c r="P841" s="30"/>
    </row>
    <row r="842" ht="15.75" customHeight="1">
      <c r="C842" s="30"/>
      <c r="I842" s="30"/>
      <c r="J842" s="30"/>
      <c r="M842" s="30"/>
      <c r="N842" s="30"/>
      <c r="P842" s="30"/>
    </row>
    <row r="843" ht="15.75" customHeight="1">
      <c r="C843" s="30"/>
      <c r="I843" s="30"/>
      <c r="J843" s="30"/>
      <c r="M843" s="30"/>
      <c r="N843" s="30"/>
      <c r="P843" s="30"/>
    </row>
    <row r="844" ht="15.75" customHeight="1">
      <c r="C844" s="30"/>
      <c r="I844" s="30"/>
      <c r="J844" s="30"/>
      <c r="M844" s="30"/>
      <c r="N844" s="30"/>
      <c r="P844" s="30"/>
    </row>
    <row r="845" ht="15.75" customHeight="1">
      <c r="C845" s="30"/>
      <c r="I845" s="30"/>
      <c r="J845" s="30"/>
      <c r="M845" s="30"/>
      <c r="N845" s="30"/>
      <c r="P845" s="30"/>
    </row>
    <row r="846" ht="15.75" customHeight="1">
      <c r="C846" s="30"/>
      <c r="I846" s="30"/>
      <c r="J846" s="30"/>
      <c r="M846" s="30"/>
      <c r="N846" s="30"/>
      <c r="P846" s="30"/>
    </row>
    <row r="847" ht="15.75" customHeight="1">
      <c r="C847" s="30"/>
      <c r="I847" s="30"/>
      <c r="J847" s="30"/>
      <c r="M847" s="30"/>
      <c r="N847" s="30"/>
      <c r="P847" s="30"/>
    </row>
    <row r="848" ht="15.75" customHeight="1">
      <c r="C848" s="30"/>
      <c r="I848" s="30"/>
      <c r="J848" s="30"/>
      <c r="M848" s="30"/>
      <c r="N848" s="30"/>
      <c r="P848" s="30"/>
    </row>
    <row r="849" ht="15.75" customHeight="1">
      <c r="C849" s="30"/>
      <c r="I849" s="30"/>
      <c r="J849" s="30"/>
      <c r="M849" s="30"/>
      <c r="N849" s="30"/>
      <c r="P849" s="30"/>
    </row>
    <row r="850" ht="15.75" customHeight="1">
      <c r="C850" s="30"/>
      <c r="I850" s="30"/>
      <c r="J850" s="30"/>
      <c r="M850" s="30"/>
      <c r="N850" s="30"/>
      <c r="P850" s="30"/>
    </row>
    <row r="851" ht="15.75" customHeight="1">
      <c r="C851" s="30"/>
      <c r="I851" s="30"/>
      <c r="J851" s="30"/>
      <c r="M851" s="30"/>
      <c r="N851" s="30"/>
      <c r="P851" s="30"/>
    </row>
    <row r="852" ht="15.75" customHeight="1">
      <c r="C852" s="30"/>
      <c r="I852" s="30"/>
      <c r="J852" s="30"/>
      <c r="M852" s="30"/>
      <c r="N852" s="30"/>
      <c r="P852" s="30"/>
    </row>
    <row r="853" ht="15.75" customHeight="1">
      <c r="C853" s="30"/>
      <c r="I853" s="30"/>
      <c r="J853" s="30"/>
      <c r="M853" s="30"/>
      <c r="N853" s="30"/>
      <c r="P853" s="30"/>
    </row>
    <row r="854" ht="15.75" customHeight="1">
      <c r="C854" s="30"/>
      <c r="I854" s="30"/>
      <c r="J854" s="30"/>
      <c r="M854" s="30"/>
      <c r="N854" s="30"/>
      <c r="P854" s="30"/>
    </row>
    <row r="855" ht="15.75" customHeight="1">
      <c r="C855" s="30"/>
      <c r="I855" s="30"/>
      <c r="J855" s="30"/>
      <c r="M855" s="30"/>
      <c r="N855" s="30"/>
      <c r="P855" s="30"/>
    </row>
    <row r="856" ht="15.75" customHeight="1">
      <c r="C856" s="30"/>
      <c r="I856" s="30"/>
      <c r="J856" s="30"/>
      <c r="M856" s="30"/>
      <c r="N856" s="30"/>
      <c r="P856" s="30"/>
    </row>
    <row r="857" ht="15.75" customHeight="1">
      <c r="C857" s="30"/>
      <c r="I857" s="30"/>
      <c r="J857" s="30"/>
      <c r="M857" s="30"/>
      <c r="N857" s="30"/>
      <c r="P857" s="30"/>
    </row>
    <row r="858" ht="15.75" customHeight="1">
      <c r="C858" s="30"/>
      <c r="I858" s="30"/>
      <c r="J858" s="30"/>
      <c r="M858" s="30"/>
      <c r="N858" s="30"/>
      <c r="P858" s="30"/>
    </row>
    <row r="859" ht="15.75" customHeight="1">
      <c r="C859" s="30"/>
      <c r="I859" s="30"/>
      <c r="J859" s="30"/>
      <c r="M859" s="30"/>
      <c r="N859" s="30"/>
      <c r="P859" s="30"/>
    </row>
    <row r="860" ht="15.75" customHeight="1">
      <c r="C860" s="30"/>
      <c r="I860" s="30"/>
      <c r="J860" s="30"/>
      <c r="M860" s="30"/>
      <c r="N860" s="30"/>
      <c r="P860" s="30"/>
    </row>
    <row r="861" ht="15.75" customHeight="1">
      <c r="C861" s="30"/>
      <c r="I861" s="30"/>
      <c r="J861" s="30"/>
      <c r="M861" s="30"/>
      <c r="N861" s="30"/>
      <c r="P861" s="30"/>
    </row>
    <row r="862" ht="15.75" customHeight="1">
      <c r="C862" s="30"/>
      <c r="I862" s="30"/>
      <c r="J862" s="30"/>
      <c r="M862" s="30"/>
      <c r="N862" s="30"/>
      <c r="P862" s="30"/>
    </row>
    <row r="863" ht="15.75" customHeight="1">
      <c r="C863" s="30"/>
      <c r="I863" s="30"/>
      <c r="J863" s="30"/>
      <c r="M863" s="30"/>
      <c r="N863" s="30"/>
      <c r="P863" s="30"/>
    </row>
    <row r="864" ht="15.75" customHeight="1">
      <c r="C864" s="30"/>
      <c r="I864" s="30"/>
      <c r="J864" s="30"/>
      <c r="M864" s="30"/>
      <c r="N864" s="30"/>
      <c r="P864" s="30"/>
    </row>
    <row r="865" ht="15.75" customHeight="1">
      <c r="C865" s="30"/>
      <c r="I865" s="30"/>
      <c r="J865" s="30"/>
      <c r="M865" s="30"/>
      <c r="N865" s="30"/>
      <c r="P865" s="30"/>
    </row>
    <row r="866" ht="15.75" customHeight="1">
      <c r="C866" s="30"/>
      <c r="I866" s="30"/>
      <c r="J866" s="30"/>
      <c r="M866" s="30"/>
      <c r="N866" s="30"/>
      <c r="P866" s="30"/>
    </row>
    <row r="867" ht="15.75" customHeight="1">
      <c r="C867" s="30"/>
      <c r="I867" s="30"/>
      <c r="J867" s="30"/>
      <c r="M867" s="30"/>
      <c r="N867" s="30"/>
      <c r="P867" s="30"/>
    </row>
    <row r="868" ht="15.75" customHeight="1">
      <c r="C868" s="30"/>
      <c r="I868" s="30"/>
      <c r="J868" s="30"/>
      <c r="M868" s="30"/>
      <c r="N868" s="30"/>
      <c r="P868" s="30"/>
    </row>
    <row r="869" ht="15.75" customHeight="1">
      <c r="C869" s="30"/>
      <c r="I869" s="30"/>
      <c r="J869" s="30"/>
      <c r="M869" s="30"/>
      <c r="N869" s="30"/>
      <c r="P869" s="30"/>
    </row>
    <row r="870" ht="15.75" customHeight="1">
      <c r="C870" s="30"/>
      <c r="I870" s="30"/>
      <c r="J870" s="30"/>
      <c r="M870" s="30"/>
      <c r="N870" s="30"/>
      <c r="P870" s="30"/>
    </row>
    <row r="871" ht="15.75" customHeight="1">
      <c r="C871" s="30"/>
      <c r="I871" s="30"/>
      <c r="J871" s="30"/>
      <c r="M871" s="30"/>
      <c r="N871" s="30"/>
      <c r="P871" s="30"/>
    </row>
    <row r="872" ht="15.75" customHeight="1">
      <c r="C872" s="30"/>
      <c r="I872" s="30"/>
      <c r="J872" s="30"/>
      <c r="M872" s="30"/>
      <c r="N872" s="30"/>
      <c r="P872" s="30"/>
    </row>
    <row r="873" ht="15.75" customHeight="1">
      <c r="C873" s="30"/>
      <c r="I873" s="30"/>
      <c r="J873" s="30"/>
      <c r="M873" s="30"/>
      <c r="N873" s="30"/>
      <c r="P873" s="30"/>
    </row>
    <row r="874" ht="15.75" customHeight="1">
      <c r="C874" s="30"/>
      <c r="I874" s="30"/>
      <c r="J874" s="30"/>
      <c r="M874" s="30"/>
      <c r="N874" s="30"/>
      <c r="P874" s="30"/>
    </row>
    <row r="875" ht="15.75" customHeight="1">
      <c r="C875" s="30"/>
      <c r="I875" s="30"/>
      <c r="J875" s="30"/>
      <c r="M875" s="30"/>
      <c r="N875" s="30"/>
      <c r="P875" s="30"/>
    </row>
    <row r="876" ht="15.75" customHeight="1">
      <c r="C876" s="30"/>
      <c r="I876" s="30"/>
      <c r="J876" s="30"/>
      <c r="M876" s="30"/>
      <c r="N876" s="30"/>
      <c r="P876" s="30"/>
    </row>
    <row r="877" ht="15.75" customHeight="1">
      <c r="C877" s="30"/>
      <c r="I877" s="30"/>
      <c r="J877" s="30"/>
      <c r="M877" s="30"/>
      <c r="N877" s="30"/>
      <c r="P877" s="30"/>
    </row>
    <row r="878" ht="15.75" customHeight="1">
      <c r="C878" s="30"/>
      <c r="I878" s="30"/>
      <c r="J878" s="30"/>
      <c r="M878" s="30"/>
      <c r="N878" s="30"/>
      <c r="P878" s="30"/>
    </row>
    <row r="879" ht="15.75" customHeight="1">
      <c r="C879" s="30"/>
      <c r="I879" s="30"/>
      <c r="J879" s="30"/>
      <c r="M879" s="30"/>
      <c r="N879" s="30"/>
      <c r="P879" s="30"/>
    </row>
    <row r="880" ht="15.75" customHeight="1">
      <c r="C880" s="30"/>
      <c r="I880" s="30"/>
      <c r="J880" s="30"/>
      <c r="M880" s="30"/>
      <c r="N880" s="30"/>
      <c r="P880" s="30"/>
    </row>
    <row r="881" ht="15.75" customHeight="1">
      <c r="C881" s="30"/>
      <c r="I881" s="30"/>
      <c r="J881" s="30"/>
      <c r="M881" s="30"/>
      <c r="N881" s="30"/>
      <c r="P881" s="30"/>
    </row>
    <row r="882" ht="15.75" customHeight="1">
      <c r="C882" s="30"/>
      <c r="I882" s="30"/>
      <c r="J882" s="30"/>
      <c r="M882" s="30"/>
      <c r="N882" s="30"/>
      <c r="P882" s="30"/>
    </row>
    <row r="883" ht="15.75" customHeight="1">
      <c r="C883" s="30"/>
      <c r="I883" s="30"/>
      <c r="J883" s="30"/>
      <c r="M883" s="30"/>
      <c r="N883" s="30"/>
      <c r="P883" s="30"/>
    </row>
    <row r="884" ht="15.75" customHeight="1">
      <c r="C884" s="30"/>
      <c r="I884" s="30"/>
      <c r="J884" s="30"/>
      <c r="M884" s="30"/>
      <c r="N884" s="30"/>
      <c r="P884" s="30"/>
    </row>
    <row r="885" ht="15.75" customHeight="1">
      <c r="C885" s="30"/>
      <c r="I885" s="30"/>
      <c r="J885" s="30"/>
      <c r="M885" s="30"/>
      <c r="N885" s="30"/>
      <c r="P885" s="30"/>
    </row>
    <row r="886" ht="15.75" customHeight="1">
      <c r="C886" s="30"/>
      <c r="I886" s="30"/>
      <c r="J886" s="30"/>
      <c r="M886" s="30"/>
      <c r="N886" s="30"/>
      <c r="P886" s="30"/>
    </row>
    <row r="887" ht="15.75" customHeight="1">
      <c r="C887" s="30"/>
      <c r="I887" s="30"/>
      <c r="J887" s="30"/>
      <c r="M887" s="30"/>
      <c r="N887" s="30"/>
      <c r="P887" s="30"/>
    </row>
    <row r="888" ht="15.75" customHeight="1">
      <c r="C888" s="30"/>
      <c r="I888" s="30"/>
      <c r="J888" s="30"/>
      <c r="M888" s="30"/>
      <c r="N888" s="30"/>
      <c r="P888" s="30"/>
    </row>
    <row r="889" ht="15.75" customHeight="1">
      <c r="C889" s="30"/>
      <c r="I889" s="30"/>
      <c r="J889" s="30"/>
      <c r="M889" s="30"/>
      <c r="N889" s="30"/>
      <c r="P889" s="30"/>
    </row>
    <row r="890" ht="15.75" customHeight="1">
      <c r="C890" s="30"/>
      <c r="I890" s="30"/>
      <c r="J890" s="30"/>
      <c r="M890" s="30"/>
      <c r="N890" s="30"/>
      <c r="P890" s="30"/>
    </row>
    <row r="891" ht="15.75" customHeight="1">
      <c r="C891" s="30"/>
      <c r="I891" s="30"/>
      <c r="J891" s="30"/>
      <c r="M891" s="30"/>
      <c r="N891" s="30"/>
      <c r="P891" s="30"/>
    </row>
    <row r="892" ht="15.75" customHeight="1">
      <c r="C892" s="30"/>
      <c r="I892" s="30"/>
      <c r="J892" s="30"/>
      <c r="M892" s="30"/>
      <c r="N892" s="30"/>
      <c r="P892" s="30"/>
    </row>
    <row r="893" ht="15.75" customHeight="1">
      <c r="C893" s="30"/>
      <c r="I893" s="30"/>
      <c r="J893" s="30"/>
      <c r="M893" s="30"/>
      <c r="N893" s="30"/>
      <c r="P893" s="30"/>
    </row>
    <row r="894" ht="15.75" customHeight="1">
      <c r="C894" s="30"/>
      <c r="I894" s="30"/>
      <c r="J894" s="30"/>
      <c r="M894" s="30"/>
      <c r="N894" s="30"/>
      <c r="P894" s="30"/>
    </row>
    <row r="895" ht="15.75" customHeight="1">
      <c r="C895" s="30"/>
      <c r="I895" s="30"/>
      <c r="J895" s="30"/>
      <c r="M895" s="30"/>
      <c r="N895" s="30"/>
      <c r="P895" s="30"/>
    </row>
    <row r="896" ht="15.75" customHeight="1">
      <c r="C896" s="30"/>
      <c r="I896" s="30"/>
      <c r="J896" s="30"/>
      <c r="M896" s="30"/>
      <c r="N896" s="30"/>
      <c r="P896" s="30"/>
    </row>
    <row r="897" ht="15.75" customHeight="1">
      <c r="C897" s="30"/>
      <c r="I897" s="30"/>
      <c r="J897" s="30"/>
      <c r="M897" s="30"/>
      <c r="N897" s="30"/>
      <c r="P897" s="30"/>
    </row>
    <row r="898" ht="15.75" customHeight="1">
      <c r="C898" s="30"/>
      <c r="I898" s="30"/>
      <c r="J898" s="30"/>
      <c r="M898" s="30"/>
      <c r="N898" s="30"/>
      <c r="P898" s="30"/>
    </row>
    <row r="899" ht="15.75" customHeight="1">
      <c r="C899" s="30"/>
      <c r="I899" s="30"/>
      <c r="J899" s="30"/>
      <c r="M899" s="30"/>
      <c r="N899" s="30"/>
      <c r="P899" s="30"/>
    </row>
    <row r="900" ht="15.75" customHeight="1">
      <c r="C900" s="30"/>
      <c r="I900" s="30"/>
      <c r="J900" s="30"/>
      <c r="M900" s="30"/>
      <c r="N900" s="30"/>
      <c r="P900" s="30"/>
    </row>
    <row r="901" ht="15.75" customHeight="1">
      <c r="C901" s="30"/>
      <c r="I901" s="30"/>
      <c r="J901" s="30"/>
      <c r="M901" s="30"/>
      <c r="N901" s="30"/>
      <c r="P901" s="30"/>
    </row>
    <row r="902" ht="15.75" customHeight="1">
      <c r="C902" s="30"/>
      <c r="I902" s="30"/>
      <c r="J902" s="30"/>
      <c r="M902" s="30"/>
      <c r="N902" s="30"/>
      <c r="P902" s="30"/>
    </row>
    <row r="903" ht="15.75" customHeight="1">
      <c r="C903" s="30"/>
      <c r="I903" s="30"/>
      <c r="J903" s="30"/>
      <c r="M903" s="30"/>
      <c r="N903" s="30"/>
      <c r="P903" s="30"/>
    </row>
    <row r="904" ht="15.75" customHeight="1">
      <c r="C904" s="30"/>
      <c r="I904" s="30"/>
      <c r="J904" s="30"/>
      <c r="M904" s="30"/>
      <c r="N904" s="30"/>
      <c r="P904" s="30"/>
    </row>
    <row r="905" ht="15.75" customHeight="1">
      <c r="C905" s="30"/>
      <c r="I905" s="30"/>
      <c r="J905" s="30"/>
      <c r="M905" s="30"/>
      <c r="N905" s="30"/>
      <c r="P905" s="30"/>
    </row>
    <row r="906" ht="15.75" customHeight="1">
      <c r="C906" s="30"/>
      <c r="I906" s="30"/>
      <c r="J906" s="30"/>
      <c r="M906" s="30"/>
      <c r="N906" s="30"/>
      <c r="P906" s="30"/>
    </row>
    <row r="907" ht="15.75" customHeight="1">
      <c r="C907" s="30"/>
      <c r="I907" s="30"/>
      <c r="J907" s="30"/>
      <c r="M907" s="30"/>
      <c r="N907" s="30"/>
      <c r="P907" s="30"/>
    </row>
    <row r="908" ht="15.75" customHeight="1">
      <c r="C908" s="30"/>
      <c r="I908" s="30"/>
      <c r="J908" s="30"/>
      <c r="M908" s="30"/>
      <c r="N908" s="30"/>
      <c r="P908" s="30"/>
    </row>
    <row r="909" ht="15.75" customHeight="1">
      <c r="C909" s="30"/>
      <c r="I909" s="30"/>
      <c r="J909" s="30"/>
      <c r="M909" s="30"/>
      <c r="N909" s="30"/>
      <c r="P909" s="30"/>
    </row>
    <row r="910" ht="15.75" customHeight="1">
      <c r="C910" s="30"/>
      <c r="I910" s="30"/>
      <c r="J910" s="30"/>
      <c r="M910" s="30"/>
      <c r="N910" s="30"/>
      <c r="P910" s="30"/>
    </row>
    <row r="911" ht="15.75" customHeight="1">
      <c r="C911" s="30"/>
      <c r="I911" s="30"/>
      <c r="J911" s="30"/>
      <c r="M911" s="30"/>
      <c r="N911" s="30"/>
      <c r="P911" s="30"/>
    </row>
    <row r="912" ht="15.75" customHeight="1">
      <c r="C912" s="30"/>
      <c r="I912" s="30"/>
      <c r="J912" s="30"/>
      <c r="M912" s="30"/>
      <c r="N912" s="30"/>
      <c r="P912" s="30"/>
    </row>
    <row r="913" ht="15.75" customHeight="1">
      <c r="C913" s="30"/>
      <c r="I913" s="30"/>
      <c r="J913" s="30"/>
      <c r="M913" s="30"/>
      <c r="N913" s="30"/>
      <c r="P913" s="30"/>
    </row>
    <row r="914" ht="15.75" customHeight="1">
      <c r="C914" s="30"/>
      <c r="I914" s="30"/>
      <c r="J914" s="30"/>
      <c r="M914" s="30"/>
      <c r="N914" s="30"/>
      <c r="P914" s="30"/>
    </row>
    <row r="915" ht="15.75" customHeight="1">
      <c r="C915" s="30"/>
      <c r="I915" s="30"/>
      <c r="J915" s="30"/>
      <c r="M915" s="30"/>
      <c r="N915" s="30"/>
      <c r="P915" s="30"/>
    </row>
    <row r="916" ht="15.75" customHeight="1">
      <c r="C916" s="30"/>
      <c r="I916" s="30"/>
      <c r="J916" s="30"/>
      <c r="M916" s="30"/>
      <c r="N916" s="30"/>
      <c r="P916" s="30"/>
    </row>
    <row r="917" ht="15.75" customHeight="1">
      <c r="C917" s="30"/>
      <c r="I917" s="30"/>
      <c r="J917" s="30"/>
      <c r="M917" s="30"/>
      <c r="N917" s="30"/>
      <c r="P917" s="30"/>
    </row>
    <row r="918" ht="15.75" customHeight="1">
      <c r="C918" s="30"/>
      <c r="I918" s="30"/>
      <c r="J918" s="30"/>
      <c r="M918" s="30"/>
      <c r="N918" s="30"/>
      <c r="P918" s="30"/>
    </row>
    <row r="919" ht="15.75" customHeight="1">
      <c r="C919" s="30"/>
      <c r="I919" s="30"/>
      <c r="J919" s="30"/>
      <c r="M919" s="30"/>
      <c r="N919" s="30"/>
      <c r="P919" s="30"/>
    </row>
    <row r="920" ht="15.75" customHeight="1">
      <c r="C920" s="30"/>
      <c r="I920" s="30"/>
      <c r="J920" s="30"/>
      <c r="M920" s="30"/>
      <c r="N920" s="30"/>
      <c r="P920" s="30"/>
    </row>
    <row r="921" ht="15.75" customHeight="1">
      <c r="C921" s="30"/>
      <c r="I921" s="30"/>
      <c r="J921" s="30"/>
      <c r="M921" s="30"/>
      <c r="N921" s="30"/>
      <c r="P921" s="30"/>
    </row>
    <row r="922" ht="15.75" customHeight="1">
      <c r="C922" s="30"/>
      <c r="I922" s="30"/>
      <c r="J922" s="30"/>
      <c r="M922" s="30"/>
      <c r="N922" s="30"/>
      <c r="P922" s="30"/>
    </row>
    <row r="923" ht="15.75" customHeight="1">
      <c r="C923" s="30"/>
      <c r="I923" s="30"/>
      <c r="J923" s="30"/>
      <c r="M923" s="30"/>
      <c r="N923" s="30"/>
      <c r="P923" s="30"/>
    </row>
    <row r="924" ht="15.75" customHeight="1">
      <c r="C924" s="30"/>
      <c r="I924" s="30"/>
      <c r="J924" s="30"/>
      <c r="M924" s="30"/>
      <c r="N924" s="30"/>
      <c r="P924" s="30"/>
    </row>
    <row r="925" ht="15.75" customHeight="1">
      <c r="C925" s="30"/>
      <c r="I925" s="30"/>
      <c r="J925" s="30"/>
      <c r="M925" s="30"/>
      <c r="N925" s="30"/>
      <c r="P925" s="30"/>
    </row>
    <row r="926" ht="15.75" customHeight="1">
      <c r="C926" s="30"/>
      <c r="I926" s="30"/>
      <c r="J926" s="30"/>
      <c r="M926" s="30"/>
      <c r="N926" s="30"/>
      <c r="P926" s="30"/>
    </row>
    <row r="927" ht="15.75" customHeight="1">
      <c r="C927" s="30"/>
      <c r="I927" s="30"/>
      <c r="J927" s="30"/>
      <c r="M927" s="30"/>
      <c r="N927" s="30"/>
      <c r="P927" s="30"/>
    </row>
    <row r="928" ht="15.75" customHeight="1">
      <c r="C928" s="30"/>
      <c r="I928" s="30"/>
      <c r="J928" s="30"/>
      <c r="M928" s="30"/>
      <c r="N928" s="30"/>
      <c r="P928" s="30"/>
    </row>
    <row r="929" ht="15.75" customHeight="1">
      <c r="C929" s="30"/>
      <c r="I929" s="30"/>
      <c r="J929" s="30"/>
      <c r="M929" s="30"/>
      <c r="N929" s="30"/>
      <c r="P929" s="30"/>
    </row>
    <row r="930" ht="15.75" customHeight="1">
      <c r="C930" s="30"/>
      <c r="I930" s="30"/>
      <c r="J930" s="30"/>
      <c r="M930" s="30"/>
      <c r="N930" s="30"/>
      <c r="P930" s="30"/>
    </row>
    <row r="931" ht="15.75" customHeight="1">
      <c r="C931" s="30"/>
      <c r="I931" s="30"/>
      <c r="J931" s="30"/>
      <c r="M931" s="30"/>
      <c r="N931" s="30"/>
      <c r="P931" s="30"/>
    </row>
    <row r="932" ht="15.75" customHeight="1">
      <c r="C932" s="30"/>
      <c r="I932" s="30"/>
      <c r="J932" s="30"/>
      <c r="M932" s="30"/>
      <c r="N932" s="30"/>
      <c r="P932" s="30"/>
    </row>
    <row r="933" ht="15.75" customHeight="1">
      <c r="C933" s="30"/>
      <c r="I933" s="30"/>
      <c r="J933" s="30"/>
      <c r="M933" s="30"/>
      <c r="N933" s="30"/>
      <c r="P933" s="30"/>
    </row>
    <row r="934" ht="15.75" customHeight="1">
      <c r="C934" s="30"/>
      <c r="I934" s="30"/>
      <c r="J934" s="30"/>
      <c r="M934" s="30"/>
      <c r="N934" s="30"/>
      <c r="P934" s="30"/>
    </row>
    <row r="935" ht="15.75" customHeight="1">
      <c r="C935" s="30"/>
      <c r="I935" s="30"/>
      <c r="J935" s="30"/>
      <c r="M935" s="30"/>
      <c r="N935" s="30"/>
      <c r="P935" s="30"/>
    </row>
    <row r="936" ht="15.75" customHeight="1">
      <c r="C936" s="30"/>
      <c r="I936" s="30"/>
      <c r="J936" s="30"/>
      <c r="M936" s="30"/>
      <c r="N936" s="30"/>
      <c r="P936" s="30"/>
    </row>
    <row r="937" ht="15.75" customHeight="1">
      <c r="C937" s="30"/>
      <c r="I937" s="30"/>
      <c r="J937" s="30"/>
      <c r="M937" s="30"/>
      <c r="N937" s="30"/>
      <c r="P937" s="30"/>
    </row>
    <row r="938" ht="15.75" customHeight="1">
      <c r="C938" s="30"/>
      <c r="I938" s="30"/>
      <c r="J938" s="30"/>
      <c r="M938" s="30"/>
      <c r="N938" s="30"/>
      <c r="P938" s="30"/>
    </row>
    <row r="939" ht="15.75" customHeight="1">
      <c r="C939" s="30"/>
      <c r="I939" s="30"/>
      <c r="J939" s="30"/>
      <c r="M939" s="30"/>
      <c r="N939" s="30"/>
      <c r="P939" s="30"/>
    </row>
    <row r="940" ht="15.75" customHeight="1">
      <c r="C940" s="30"/>
      <c r="I940" s="30"/>
      <c r="J940" s="30"/>
      <c r="M940" s="30"/>
      <c r="N940" s="30"/>
      <c r="P940" s="30"/>
    </row>
    <row r="941" ht="15.75" customHeight="1">
      <c r="C941" s="30"/>
      <c r="I941" s="30"/>
      <c r="J941" s="30"/>
      <c r="M941" s="30"/>
      <c r="N941" s="30"/>
      <c r="P941" s="30"/>
    </row>
    <row r="942" ht="15.75" customHeight="1">
      <c r="C942" s="30"/>
      <c r="I942" s="30"/>
      <c r="J942" s="30"/>
      <c r="M942" s="30"/>
      <c r="N942" s="30"/>
      <c r="P942" s="30"/>
    </row>
    <row r="943" ht="15.75" customHeight="1">
      <c r="C943" s="30"/>
      <c r="I943" s="30"/>
      <c r="J943" s="30"/>
      <c r="M943" s="30"/>
      <c r="N943" s="30"/>
      <c r="P943" s="30"/>
    </row>
    <row r="944" ht="15.75" customHeight="1">
      <c r="C944" s="30"/>
      <c r="I944" s="30"/>
      <c r="J944" s="30"/>
      <c r="M944" s="30"/>
      <c r="N944" s="30"/>
      <c r="P944" s="30"/>
    </row>
    <row r="945" ht="15.75" customHeight="1">
      <c r="C945" s="30"/>
      <c r="I945" s="30"/>
      <c r="J945" s="30"/>
      <c r="M945" s="30"/>
      <c r="N945" s="30"/>
      <c r="P945" s="30"/>
    </row>
    <row r="946" ht="15.75" customHeight="1">
      <c r="C946" s="30"/>
      <c r="I946" s="30"/>
      <c r="J946" s="30"/>
      <c r="M946" s="30"/>
      <c r="N946" s="30"/>
      <c r="P946" s="30"/>
    </row>
    <row r="947" ht="15.75" customHeight="1">
      <c r="C947" s="30"/>
      <c r="I947" s="30"/>
      <c r="J947" s="30"/>
      <c r="M947" s="30"/>
      <c r="N947" s="30"/>
      <c r="P947" s="30"/>
    </row>
    <row r="948" ht="15.75" customHeight="1">
      <c r="C948" s="30"/>
      <c r="I948" s="30"/>
      <c r="J948" s="30"/>
      <c r="M948" s="30"/>
      <c r="N948" s="30"/>
      <c r="P948" s="30"/>
    </row>
    <row r="949" ht="15.75" customHeight="1">
      <c r="C949" s="30"/>
      <c r="I949" s="30"/>
      <c r="J949" s="30"/>
      <c r="M949" s="30"/>
      <c r="N949" s="30"/>
      <c r="P949" s="30"/>
    </row>
    <row r="950" ht="15.75" customHeight="1">
      <c r="C950" s="30"/>
      <c r="I950" s="30"/>
      <c r="J950" s="30"/>
      <c r="M950" s="30"/>
      <c r="N950" s="30"/>
      <c r="P950" s="30"/>
    </row>
    <row r="951" ht="15.75" customHeight="1">
      <c r="C951" s="30"/>
      <c r="I951" s="30"/>
      <c r="J951" s="30"/>
      <c r="M951" s="30"/>
      <c r="N951" s="30"/>
      <c r="P951" s="30"/>
    </row>
    <row r="952" ht="15.75" customHeight="1">
      <c r="C952" s="30"/>
      <c r="I952" s="30"/>
      <c r="J952" s="30"/>
      <c r="M952" s="30"/>
      <c r="N952" s="30"/>
      <c r="P952" s="30"/>
    </row>
    <row r="953" ht="15.75" customHeight="1">
      <c r="C953" s="30"/>
      <c r="I953" s="30"/>
      <c r="J953" s="30"/>
      <c r="M953" s="30"/>
      <c r="N953" s="30"/>
      <c r="P953" s="30"/>
    </row>
    <row r="954" ht="15.75" customHeight="1">
      <c r="C954" s="30"/>
      <c r="I954" s="30"/>
      <c r="J954" s="30"/>
      <c r="M954" s="30"/>
      <c r="N954" s="30"/>
      <c r="P954" s="30"/>
    </row>
    <row r="955" ht="15.75" customHeight="1">
      <c r="C955" s="30"/>
      <c r="I955" s="30"/>
      <c r="J955" s="30"/>
      <c r="M955" s="30"/>
      <c r="N955" s="30"/>
      <c r="P955" s="30"/>
    </row>
    <row r="956" ht="15.75" customHeight="1">
      <c r="C956" s="30"/>
      <c r="I956" s="30"/>
      <c r="J956" s="30"/>
      <c r="M956" s="30"/>
      <c r="N956" s="30"/>
      <c r="P956" s="30"/>
    </row>
    <row r="957" ht="15.75" customHeight="1">
      <c r="C957" s="30"/>
      <c r="I957" s="30"/>
      <c r="J957" s="30"/>
      <c r="M957" s="30"/>
      <c r="N957" s="30"/>
      <c r="P957" s="30"/>
    </row>
    <row r="958" ht="15.75" customHeight="1">
      <c r="C958" s="30"/>
      <c r="I958" s="30"/>
      <c r="J958" s="30"/>
      <c r="M958" s="30"/>
      <c r="N958" s="30"/>
      <c r="P958" s="30"/>
    </row>
    <row r="959" ht="15.75" customHeight="1">
      <c r="C959" s="30"/>
      <c r="I959" s="30"/>
      <c r="J959" s="30"/>
      <c r="M959" s="30"/>
      <c r="N959" s="30"/>
      <c r="P959" s="30"/>
    </row>
    <row r="960" ht="15.75" customHeight="1">
      <c r="C960" s="30"/>
      <c r="I960" s="30"/>
      <c r="J960" s="30"/>
      <c r="M960" s="30"/>
      <c r="N960" s="30"/>
      <c r="P960" s="30"/>
    </row>
    <row r="961" ht="15.75" customHeight="1">
      <c r="C961" s="30"/>
      <c r="I961" s="30"/>
      <c r="J961" s="30"/>
      <c r="M961" s="30"/>
      <c r="N961" s="30"/>
      <c r="P961" s="30"/>
    </row>
    <row r="962" ht="15.75" customHeight="1">
      <c r="C962" s="30"/>
      <c r="I962" s="30"/>
      <c r="J962" s="30"/>
      <c r="M962" s="30"/>
      <c r="N962" s="30"/>
      <c r="P962" s="30"/>
    </row>
    <row r="963" ht="15.75" customHeight="1">
      <c r="C963" s="30"/>
      <c r="I963" s="30"/>
      <c r="J963" s="30"/>
      <c r="M963" s="30"/>
      <c r="N963" s="30"/>
      <c r="P963" s="30"/>
    </row>
    <row r="964" ht="15.75" customHeight="1">
      <c r="C964" s="30"/>
      <c r="I964" s="30"/>
      <c r="J964" s="30"/>
      <c r="M964" s="30"/>
      <c r="N964" s="30"/>
      <c r="P964" s="30"/>
    </row>
    <row r="965" ht="15.75" customHeight="1">
      <c r="C965" s="30"/>
      <c r="I965" s="30"/>
      <c r="J965" s="30"/>
      <c r="M965" s="30"/>
      <c r="N965" s="30"/>
      <c r="P965" s="30"/>
    </row>
    <row r="966" ht="15.75" customHeight="1">
      <c r="C966" s="30"/>
      <c r="I966" s="30"/>
      <c r="J966" s="30"/>
      <c r="M966" s="30"/>
      <c r="N966" s="30"/>
      <c r="P966" s="30"/>
    </row>
    <row r="967" ht="15.75" customHeight="1">
      <c r="C967" s="30"/>
      <c r="I967" s="30"/>
      <c r="J967" s="30"/>
      <c r="M967" s="30"/>
      <c r="N967" s="30"/>
      <c r="P967" s="30"/>
    </row>
    <row r="968" ht="15.75" customHeight="1">
      <c r="C968" s="30"/>
      <c r="I968" s="30"/>
      <c r="J968" s="30"/>
      <c r="M968" s="30"/>
      <c r="N968" s="30"/>
      <c r="P968" s="30"/>
    </row>
    <row r="969" ht="15.75" customHeight="1">
      <c r="C969" s="30"/>
      <c r="I969" s="30"/>
      <c r="J969" s="30"/>
      <c r="M969" s="30"/>
      <c r="N969" s="30"/>
      <c r="P969" s="30"/>
    </row>
    <row r="970" ht="15.75" customHeight="1">
      <c r="C970" s="30"/>
      <c r="I970" s="30"/>
      <c r="J970" s="30"/>
      <c r="M970" s="30"/>
      <c r="N970" s="30"/>
      <c r="P970" s="30"/>
    </row>
    <row r="971" ht="15.75" customHeight="1">
      <c r="C971" s="30"/>
      <c r="I971" s="30"/>
      <c r="J971" s="30"/>
      <c r="M971" s="30"/>
      <c r="N971" s="30"/>
      <c r="P971" s="30"/>
    </row>
    <row r="972" ht="15.75" customHeight="1">
      <c r="C972" s="30"/>
      <c r="I972" s="30"/>
      <c r="J972" s="30"/>
      <c r="M972" s="30"/>
      <c r="N972" s="30"/>
      <c r="P972" s="30"/>
    </row>
    <row r="973" ht="15.75" customHeight="1">
      <c r="C973" s="30"/>
      <c r="I973" s="30"/>
      <c r="J973" s="30"/>
      <c r="M973" s="30"/>
      <c r="N973" s="30"/>
      <c r="P973" s="30"/>
    </row>
    <row r="974" ht="15.75" customHeight="1">
      <c r="C974" s="30"/>
      <c r="I974" s="30"/>
      <c r="J974" s="30"/>
      <c r="M974" s="30"/>
      <c r="N974" s="30"/>
      <c r="P974" s="30"/>
    </row>
    <row r="975" ht="15.75" customHeight="1">
      <c r="C975" s="30"/>
      <c r="I975" s="30"/>
      <c r="J975" s="30"/>
      <c r="M975" s="30"/>
      <c r="N975" s="30"/>
      <c r="P975" s="30"/>
    </row>
    <row r="976" ht="15.75" customHeight="1">
      <c r="C976" s="30"/>
      <c r="I976" s="30"/>
      <c r="J976" s="30"/>
      <c r="M976" s="30"/>
      <c r="N976" s="30"/>
      <c r="P976" s="30"/>
    </row>
    <row r="977" ht="15.75" customHeight="1">
      <c r="C977" s="30"/>
      <c r="I977" s="30"/>
      <c r="J977" s="30"/>
      <c r="M977" s="30"/>
      <c r="N977" s="30"/>
      <c r="P977" s="30"/>
    </row>
    <row r="978" ht="15.75" customHeight="1">
      <c r="C978" s="30"/>
      <c r="I978" s="30"/>
      <c r="J978" s="30"/>
      <c r="M978" s="30"/>
      <c r="N978" s="30"/>
      <c r="P978" s="30"/>
    </row>
    <row r="979" ht="15.75" customHeight="1">
      <c r="C979" s="30"/>
      <c r="I979" s="30"/>
      <c r="J979" s="30"/>
      <c r="M979" s="30"/>
      <c r="N979" s="30"/>
      <c r="P979" s="30"/>
    </row>
    <row r="980" ht="15.75" customHeight="1">
      <c r="C980" s="30"/>
      <c r="I980" s="30"/>
      <c r="J980" s="30"/>
      <c r="M980" s="30"/>
      <c r="N980" s="30"/>
      <c r="P980" s="30"/>
    </row>
    <row r="981" ht="15.75" customHeight="1">
      <c r="C981" s="30"/>
      <c r="I981" s="30"/>
      <c r="J981" s="30"/>
      <c r="M981" s="30"/>
      <c r="N981" s="30"/>
      <c r="P981" s="30"/>
    </row>
    <row r="982" ht="15.75" customHeight="1">
      <c r="C982" s="30"/>
      <c r="I982" s="30"/>
      <c r="J982" s="30"/>
      <c r="M982" s="30"/>
      <c r="N982" s="30"/>
      <c r="P982" s="30"/>
    </row>
    <row r="983" ht="15.75" customHeight="1">
      <c r="C983" s="30"/>
      <c r="I983" s="30"/>
      <c r="J983" s="30"/>
      <c r="M983" s="30"/>
      <c r="N983" s="30"/>
      <c r="P983" s="30"/>
    </row>
    <row r="984" ht="15.75" customHeight="1">
      <c r="C984" s="30"/>
      <c r="I984" s="30"/>
      <c r="J984" s="30"/>
      <c r="M984" s="30"/>
      <c r="N984" s="30"/>
      <c r="P984" s="30"/>
    </row>
    <row r="985" ht="15.75" customHeight="1">
      <c r="C985" s="30"/>
      <c r="I985" s="30"/>
      <c r="J985" s="30"/>
      <c r="M985" s="30"/>
      <c r="N985" s="30"/>
      <c r="P985" s="30"/>
    </row>
    <row r="986" ht="15.75" customHeight="1">
      <c r="C986" s="30"/>
      <c r="I986" s="30"/>
      <c r="J986" s="30"/>
      <c r="M986" s="30"/>
      <c r="N986" s="30"/>
      <c r="P986" s="30"/>
    </row>
    <row r="987" ht="15.75" customHeight="1">
      <c r="C987" s="30"/>
      <c r="I987" s="30"/>
      <c r="J987" s="30"/>
      <c r="M987" s="30"/>
      <c r="N987" s="30"/>
      <c r="P987" s="30"/>
    </row>
    <row r="988" ht="15.75" customHeight="1">
      <c r="C988" s="30"/>
      <c r="I988" s="30"/>
      <c r="J988" s="30"/>
      <c r="M988" s="30"/>
      <c r="N988" s="30"/>
      <c r="P988" s="30"/>
    </row>
    <row r="989" ht="15.75" customHeight="1">
      <c r="C989" s="30"/>
      <c r="I989" s="30"/>
      <c r="J989" s="30"/>
      <c r="M989" s="30"/>
      <c r="N989" s="30"/>
      <c r="P989" s="30"/>
    </row>
    <row r="990" ht="15.75" customHeight="1">
      <c r="C990" s="30"/>
      <c r="I990" s="30"/>
      <c r="J990" s="30"/>
      <c r="M990" s="30"/>
      <c r="N990" s="30"/>
      <c r="P990" s="30"/>
    </row>
    <row r="991" ht="15.75" customHeight="1">
      <c r="C991" s="30"/>
      <c r="I991" s="30"/>
      <c r="J991" s="30"/>
      <c r="M991" s="30"/>
      <c r="N991" s="30"/>
      <c r="P991" s="30"/>
    </row>
    <row r="992" ht="15.75" customHeight="1">
      <c r="C992" s="30"/>
      <c r="I992" s="30"/>
      <c r="J992" s="30"/>
      <c r="M992" s="30"/>
      <c r="N992" s="30"/>
      <c r="P992" s="30"/>
    </row>
    <row r="993" ht="15.75" customHeight="1">
      <c r="C993" s="30"/>
      <c r="I993" s="30"/>
      <c r="J993" s="30"/>
      <c r="M993" s="30"/>
      <c r="N993" s="30"/>
      <c r="P993" s="30"/>
    </row>
    <row r="994" ht="15.75" customHeight="1">
      <c r="C994" s="30"/>
      <c r="I994" s="30"/>
      <c r="J994" s="30"/>
      <c r="M994" s="30"/>
      <c r="N994" s="30"/>
      <c r="P994" s="30"/>
    </row>
    <row r="995" ht="15.75" customHeight="1">
      <c r="C995" s="30"/>
      <c r="I995" s="30"/>
      <c r="J995" s="30"/>
      <c r="M995" s="30"/>
      <c r="N995" s="30"/>
      <c r="P995" s="30"/>
    </row>
    <row r="996" ht="15.75" customHeight="1">
      <c r="C996" s="30"/>
      <c r="I996" s="30"/>
      <c r="J996" s="30"/>
      <c r="M996" s="30"/>
      <c r="N996" s="30"/>
      <c r="P996" s="30"/>
    </row>
    <row r="997" ht="15.75" customHeight="1">
      <c r="C997" s="30"/>
      <c r="I997" s="30"/>
      <c r="J997" s="30"/>
      <c r="M997" s="30"/>
      <c r="N997" s="30"/>
      <c r="P997" s="30"/>
    </row>
    <row r="998" ht="15.75" customHeight="1">
      <c r="C998" s="30"/>
      <c r="I998" s="30"/>
      <c r="J998" s="30"/>
      <c r="M998" s="30"/>
      <c r="N998" s="30"/>
      <c r="P998" s="30"/>
    </row>
    <row r="999" ht="15.75" customHeight="1">
      <c r="C999" s="30"/>
      <c r="I999" s="30"/>
      <c r="J999" s="30"/>
      <c r="M999" s="30"/>
      <c r="N999" s="30"/>
      <c r="P999" s="30"/>
    </row>
    <row r="1000" ht="15.75" customHeight="1">
      <c r="C1000" s="30"/>
      <c r="I1000" s="30"/>
      <c r="J1000" s="30"/>
      <c r="M1000" s="30"/>
      <c r="N1000" s="30"/>
      <c r="P1000" s="30"/>
    </row>
  </sheetData>
  <mergeCells count="26">
    <mergeCell ref="J21:K22"/>
    <mergeCell ref="J35:K36"/>
    <mergeCell ref="J49:K50"/>
    <mergeCell ref="J62:K63"/>
    <mergeCell ref="J76:M77"/>
    <mergeCell ref="B1:D2"/>
    <mergeCell ref="C4:D4"/>
    <mergeCell ref="C5:D5"/>
    <mergeCell ref="C7:D7"/>
    <mergeCell ref="C8:D8"/>
    <mergeCell ref="C9:D9"/>
    <mergeCell ref="J15:M17"/>
    <mergeCell ref="B169:B170"/>
    <mergeCell ref="B196:B197"/>
    <mergeCell ref="B241:B242"/>
    <mergeCell ref="H246:I246"/>
    <mergeCell ref="H247:I247"/>
    <mergeCell ref="E251:F252"/>
    <mergeCell ref="B16:B17"/>
    <mergeCell ref="B21:B22"/>
    <mergeCell ref="B52:B53"/>
    <mergeCell ref="B97:B98"/>
    <mergeCell ref="B110:B111"/>
    <mergeCell ref="B152:B153"/>
    <mergeCell ref="E188:F190"/>
    <mergeCell ref="E241:F242"/>
  </mergeCells>
  <hyperlinks>
    <hyperlink r:id="rId1" ref="F25"/>
    <hyperlink r:id="rId2" ref="F26"/>
    <hyperlink r:id="rId3" ref="F27"/>
    <hyperlink r:id="rId4" ref="F28"/>
    <hyperlink r:id="rId5" ref="F29"/>
    <hyperlink r:id="rId6" ref="F30"/>
    <hyperlink r:id="rId7" ref="F31"/>
    <hyperlink r:id="rId8" ref="F32"/>
    <hyperlink r:id="rId9" ref="F33"/>
    <hyperlink r:id="rId10" ref="F34"/>
    <hyperlink r:id="rId11" ref="F35"/>
    <hyperlink r:id="rId12" ref="F36"/>
    <hyperlink r:id="rId13" ref="F37"/>
    <hyperlink r:id="rId14" ref="F38"/>
    <hyperlink r:id="rId15" ref="F39"/>
    <hyperlink r:id="rId16" ref="F40"/>
    <hyperlink r:id="rId17" ref="F41"/>
    <hyperlink r:id="rId18" ref="F42"/>
    <hyperlink r:id="rId19" ref="F43"/>
    <hyperlink r:id="rId20" ref="F44"/>
    <hyperlink r:id="rId21" ref="F45"/>
    <hyperlink r:id="rId22" ref="F46"/>
    <hyperlink r:id="rId23" ref="F58"/>
    <hyperlink r:id="rId24" ref="F59"/>
    <hyperlink r:id="rId25" ref="F60"/>
    <hyperlink r:id="rId26" ref="F74"/>
    <hyperlink r:id="rId27" ref="F101"/>
    <hyperlink r:id="rId28" ref="F102"/>
    <hyperlink r:id="rId29" ref="F103"/>
    <hyperlink r:id="rId30" ref="C189"/>
    <hyperlink r:id="rId31" ref="C190"/>
    <hyperlink r:id="rId32" ref="C212"/>
    <hyperlink r:id="rId33" ref="C213"/>
  </hyperlinks>
  <printOptions/>
  <pageMargins bottom="0.75" footer="0.0" header="0.0" left="0.7" right="0.7" top="0.75"/>
  <pageSetup orientation="landscape"/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0.25"/>
    <col customWidth="1" min="3" max="3" width="31.0"/>
    <col customWidth="1" min="4" max="4" width="28.38"/>
    <col customWidth="1" min="5" max="5" width="30.75"/>
    <col customWidth="1" min="6" max="6" width="12.63"/>
    <col customWidth="1" min="7" max="7" width="19.63"/>
    <col customWidth="1" min="10" max="10" width="38.0"/>
    <col customWidth="1" min="11" max="11" width="23.75"/>
    <col customWidth="1" min="12" max="12" width="29.13"/>
    <col customWidth="1" min="13" max="13" width="33.25"/>
  </cols>
  <sheetData>
    <row r="1" ht="15.75" customHeight="1">
      <c r="B1" s="18" t="s">
        <v>433</v>
      </c>
      <c r="C1" s="2"/>
      <c r="D1" s="2"/>
      <c r="E1" s="2"/>
      <c r="F1" s="2"/>
      <c r="G1" s="2"/>
      <c r="H1" s="3"/>
    </row>
    <row r="2" ht="15.75" customHeight="1">
      <c r="B2" s="4"/>
      <c r="H2" s="5"/>
    </row>
    <row r="3" ht="15.75" customHeight="1">
      <c r="B3" s="7"/>
      <c r="C3" s="8"/>
      <c r="D3" s="8"/>
      <c r="E3" s="8"/>
      <c r="F3" s="8"/>
      <c r="G3" s="8"/>
      <c r="H3" s="9"/>
    </row>
    <row r="4" ht="15.75" customHeight="1"/>
    <row r="5" ht="15.75" customHeight="1"/>
    <row r="6" ht="15.75" customHeight="1"/>
    <row r="7" ht="15.75" customHeight="1">
      <c r="B7" s="91" t="s">
        <v>434</v>
      </c>
      <c r="C7" s="3"/>
      <c r="J7" s="91" t="s">
        <v>435</v>
      </c>
      <c r="K7" s="3"/>
    </row>
    <row r="8" ht="15.75" customHeight="1">
      <c r="B8" s="7"/>
      <c r="C8" s="9"/>
      <c r="J8" s="7"/>
      <c r="K8" s="9"/>
    </row>
    <row r="9" ht="15.75" customHeight="1"/>
    <row r="10" ht="31.5" customHeight="1">
      <c r="B10" s="92" t="s">
        <v>436</v>
      </c>
      <c r="C10" s="92" t="s">
        <v>437</v>
      </c>
      <c r="D10" s="92" t="s">
        <v>438</v>
      </c>
      <c r="E10" s="93" t="s">
        <v>439</v>
      </c>
      <c r="F10" s="94"/>
      <c r="G10" s="95"/>
      <c r="J10" s="92" t="s">
        <v>440</v>
      </c>
      <c r="K10" s="92" t="s">
        <v>441</v>
      </c>
      <c r="L10" s="92" t="s">
        <v>442</v>
      </c>
      <c r="M10" s="92" t="s">
        <v>443</v>
      </c>
    </row>
    <row r="11" ht="15.75" customHeight="1">
      <c r="B11" s="96" t="s">
        <v>444</v>
      </c>
      <c r="C11" s="96">
        <v>6100000.0</v>
      </c>
      <c r="D11" s="96" t="s">
        <v>445</v>
      </c>
      <c r="E11" s="97" t="s">
        <v>446</v>
      </c>
      <c r="F11" s="14"/>
      <c r="G11" s="15"/>
      <c r="J11" s="98" t="s">
        <v>447</v>
      </c>
      <c r="K11" s="99">
        <v>1.2E7</v>
      </c>
      <c r="L11" s="100">
        <v>0.6</v>
      </c>
      <c r="M11" s="99">
        <f t="shared" ref="M11:M17" si="1">K11*L11</f>
        <v>7200000</v>
      </c>
    </row>
    <row r="12" ht="15.75" customHeight="1">
      <c r="B12" s="96" t="s">
        <v>448</v>
      </c>
      <c r="C12" s="96">
        <f>C11/52</f>
        <v>117307.6923</v>
      </c>
      <c r="D12" s="96" t="s">
        <v>449</v>
      </c>
      <c r="E12" s="97" t="s">
        <v>450</v>
      </c>
      <c r="F12" s="14"/>
      <c r="G12" s="15"/>
      <c r="J12" s="98" t="s">
        <v>451</v>
      </c>
      <c r="K12" s="99">
        <v>8000000.0</v>
      </c>
      <c r="L12" s="100">
        <v>0.6</v>
      </c>
      <c r="M12" s="99">
        <f t="shared" si="1"/>
        <v>4800000</v>
      </c>
    </row>
    <row r="13" ht="15.75" customHeight="1">
      <c r="B13" s="96" t="s">
        <v>452</v>
      </c>
      <c r="C13" s="96">
        <v>7.0</v>
      </c>
      <c r="D13" s="96" t="s">
        <v>453</v>
      </c>
      <c r="E13" s="97" t="s">
        <v>454</v>
      </c>
      <c r="F13" s="14"/>
      <c r="G13" s="15"/>
      <c r="J13" s="98" t="s">
        <v>455</v>
      </c>
      <c r="K13" s="99">
        <v>6000000.0</v>
      </c>
      <c r="L13" s="100">
        <v>0.5</v>
      </c>
      <c r="M13" s="99">
        <f t="shared" si="1"/>
        <v>3000000</v>
      </c>
    </row>
    <row r="14" ht="15.75" customHeight="1">
      <c r="B14" s="96" t="s">
        <v>456</v>
      </c>
      <c r="C14" s="96">
        <v>8.0</v>
      </c>
      <c r="D14" s="96" t="s">
        <v>457</v>
      </c>
      <c r="E14" s="97" t="s">
        <v>458</v>
      </c>
      <c r="F14" s="14"/>
      <c r="G14" s="15"/>
      <c r="J14" s="98" t="s">
        <v>459</v>
      </c>
      <c r="K14" s="99">
        <v>3000000.0</v>
      </c>
      <c r="L14" s="100">
        <v>0.5</v>
      </c>
      <c r="M14" s="99">
        <f t="shared" si="1"/>
        <v>1500000</v>
      </c>
    </row>
    <row r="15" ht="15.75" customHeight="1">
      <c r="B15" s="96" t="s">
        <v>460</v>
      </c>
      <c r="C15" s="96">
        <f>C13*C14*52</f>
        <v>2912</v>
      </c>
      <c r="D15" s="96" t="s">
        <v>461</v>
      </c>
      <c r="E15" s="97" t="s">
        <v>462</v>
      </c>
      <c r="F15" s="14"/>
      <c r="G15" s="15"/>
      <c r="J15" s="98" t="s">
        <v>463</v>
      </c>
      <c r="K15" s="99">
        <v>1.2E7</v>
      </c>
      <c r="L15" s="100">
        <v>0.4</v>
      </c>
      <c r="M15" s="99">
        <f t="shared" si="1"/>
        <v>4800000</v>
      </c>
    </row>
    <row r="16" ht="15.75" customHeight="1">
      <c r="B16" s="96" t="s">
        <v>464</v>
      </c>
      <c r="C16" s="96">
        <f>2675*52/60</f>
        <v>2318.333333</v>
      </c>
      <c r="D16" s="96" t="s">
        <v>461</v>
      </c>
      <c r="E16" s="97" t="s">
        <v>465</v>
      </c>
      <c r="F16" s="14"/>
      <c r="G16" s="15"/>
      <c r="J16" s="98" t="s">
        <v>466</v>
      </c>
      <c r="K16" s="99">
        <v>4000000.0</v>
      </c>
      <c r="L16" s="100">
        <v>0.4</v>
      </c>
      <c r="M16" s="99">
        <f t="shared" si="1"/>
        <v>1600000</v>
      </c>
    </row>
    <row r="17" ht="15.75" customHeight="1">
      <c r="B17" s="96" t="s">
        <v>467</v>
      </c>
      <c r="C17" s="96">
        <v>4000.0</v>
      </c>
      <c r="D17" s="96" t="s">
        <v>468</v>
      </c>
      <c r="E17" s="97" t="s">
        <v>469</v>
      </c>
      <c r="F17" s="14"/>
      <c r="G17" s="15"/>
      <c r="J17" s="98" t="s">
        <v>470</v>
      </c>
      <c r="K17" s="99">
        <v>5000000.0</v>
      </c>
      <c r="L17" s="100">
        <v>0.3</v>
      </c>
      <c r="M17" s="99">
        <f t="shared" si="1"/>
        <v>1500000</v>
      </c>
    </row>
    <row r="18" ht="31.5" customHeight="1">
      <c r="B18" s="96" t="s">
        <v>471</v>
      </c>
      <c r="C18" s="96">
        <f>C12/(C16/52)</f>
        <v>2631.200575</v>
      </c>
      <c r="D18" s="96" t="s">
        <v>468</v>
      </c>
      <c r="E18" s="97" t="s">
        <v>472</v>
      </c>
      <c r="F18" s="14"/>
      <c r="G18" s="15"/>
      <c r="J18" s="98" t="s">
        <v>473</v>
      </c>
      <c r="K18" s="98" t="s">
        <v>474</v>
      </c>
      <c r="L18" s="98"/>
      <c r="M18" s="99" t="s">
        <v>475</v>
      </c>
    </row>
    <row r="19" ht="15.75" customHeight="1">
      <c r="B19" s="96" t="s">
        <v>476</v>
      </c>
      <c r="C19" s="101">
        <v>0.72</v>
      </c>
      <c r="D19" s="96" t="s">
        <v>477</v>
      </c>
      <c r="E19" s="97" t="s">
        <v>478</v>
      </c>
      <c r="F19" s="14"/>
      <c r="G19" s="15"/>
      <c r="J19" s="98" t="s">
        <v>479</v>
      </c>
      <c r="K19" s="98"/>
      <c r="L19" s="98"/>
      <c r="M19" s="99">
        <f>SUM(M11:M17)</f>
        <v>24400000</v>
      </c>
    </row>
    <row r="20" ht="15.75" customHeight="1">
      <c r="B20" s="96" t="s">
        <v>480</v>
      </c>
      <c r="C20" s="101">
        <v>0.8</v>
      </c>
      <c r="D20" s="96" t="s">
        <v>477</v>
      </c>
      <c r="E20" s="97" t="s">
        <v>481</v>
      </c>
      <c r="F20" s="14"/>
      <c r="G20" s="15"/>
    </row>
    <row r="21" ht="15.75" customHeight="1">
      <c r="B21" s="80" t="s">
        <v>482</v>
      </c>
      <c r="C21" s="102">
        <f>C16*C17*C19</f>
        <v>6676800</v>
      </c>
      <c r="D21" s="80" t="s">
        <v>445</v>
      </c>
      <c r="E21" s="103" t="s">
        <v>483</v>
      </c>
      <c r="F21" s="14"/>
      <c r="G21" s="15"/>
    </row>
    <row r="22" ht="15.75" customHeight="1">
      <c r="B22" s="80" t="s">
        <v>484</v>
      </c>
      <c r="C22" s="102">
        <f>C16*C17*C20</f>
        <v>7418666.667</v>
      </c>
      <c r="D22" s="80" t="s">
        <v>445</v>
      </c>
      <c r="E22" s="103" t="s">
        <v>485</v>
      </c>
      <c r="F22" s="14"/>
      <c r="G22" s="15"/>
    </row>
    <row r="23" ht="15.75" customHeight="1">
      <c r="B23" s="80" t="s">
        <v>486</v>
      </c>
      <c r="C23" s="102">
        <f>C22-C21</f>
        <v>741866.6667</v>
      </c>
      <c r="D23" s="80" t="s">
        <v>445</v>
      </c>
      <c r="E23" s="103" t="s">
        <v>487</v>
      </c>
      <c r="F23" s="14"/>
      <c r="G23" s="15"/>
    </row>
    <row r="24" ht="15.75" customHeight="1">
      <c r="B24" s="80" t="s">
        <v>488</v>
      </c>
      <c r="C24" s="102">
        <f>MIN(C11*(1+C41),C22)</f>
        <v>6405000</v>
      </c>
      <c r="D24" s="80" t="s">
        <v>445</v>
      </c>
      <c r="E24" s="103" t="s">
        <v>489</v>
      </c>
      <c r="F24" s="14"/>
      <c r="G24" s="15"/>
    </row>
    <row r="25" ht="15.75" customHeight="1">
      <c r="B25" s="80" t="s">
        <v>490</v>
      </c>
      <c r="C25" s="102">
        <f>MAX(0,C24-C11)</f>
        <v>305000</v>
      </c>
      <c r="D25" s="80" t="s">
        <v>445</v>
      </c>
      <c r="E25" s="103" t="s">
        <v>491</v>
      </c>
      <c r="F25" s="14"/>
      <c r="G25" s="15"/>
    </row>
    <row r="26" ht="15.75" customHeight="1">
      <c r="B26" s="80" t="s">
        <v>492</v>
      </c>
      <c r="C26" s="102">
        <f>C22-C11</f>
        <v>1318666.667</v>
      </c>
      <c r="D26" s="80" t="s">
        <v>445</v>
      </c>
      <c r="E26" s="103" t="s">
        <v>493</v>
      </c>
      <c r="F26" s="14"/>
      <c r="G26" s="15"/>
    </row>
    <row r="27" ht="15.75" customHeight="1">
      <c r="B27" s="80" t="s">
        <v>494</v>
      </c>
      <c r="C27" s="104">
        <f>180/(180+50)</f>
        <v>0.7826086957</v>
      </c>
      <c r="D27" s="80" t="s">
        <v>477</v>
      </c>
      <c r="E27" s="103" t="s">
        <v>495</v>
      </c>
      <c r="F27" s="14"/>
      <c r="G27" s="15"/>
    </row>
    <row r="28" ht="15.75" customHeight="1">
      <c r="B28" s="80" t="s">
        <v>496</v>
      </c>
      <c r="C28" s="104">
        <f>C20/(0.99864*C33)</f>
        <v>0.8522228529</v>
      </c>
      <c r="D28" s="80" t="s">
        <v>477</v>
      </c>
      <c r="E28" s="103" t="s">
        <v>497</v>
      </c>
      <c r="F28" s="14"/>
      <c r="G28" s="15"/>
    </row>
    <row r="29" ht="15.75" customHeight="1">
      <c r="B29" s="80" t="s">
        <v>498</v>
      </c>
      <c r="C29" s="105">
        <f>C16*(1-C27)</f>
        <v>503.9855072</v>
      </c>
      <c r="D29" s="80" t="s">
        <v>461</v>
      </c>
      <c r="E29" s="103" t="s">
        <v>499</v>
      </c>
      <c r="F29" s="14"/>
      <c r="G29" s="15"/>
    </row>
    <row r="30" ht="15.75" customHeight="1">
      <c r="B30" s="80" t="s">
        <v>500</v>
      </c>
      <c r="C30" s="105">
        <f>C16*(1-C28)</f>
        <v>342.5966861</v>
      </c>
      <c r="D30" s="80" t="s">
        <v>461</v>
      </c>
      <c r="E30" s="103" t="s">
        <v>501</v>
      </c>
      <c r="F30" s="14"/>
      <c r="G30" s="15"/>
    </row>
    <row r="31" ht="15.75" customHeight="1">
      <c r="B31" s="80" t="s">
        <v>502</v>
      </c>
      <c r="C31" s="105">
        <f>C29-C30</f>
        <v>161.3888211</v>
      </c>
      <c r="D31" s="80" t="s">
        <v>461</v>
      </c>
      <c r="E31" s="103" t="s">
        <v>503</v>
      </c>
      <c r="F31" s="14"/>
      <c r="G31" s="15"/>
    </row>
    <row r="32" ht="15.75" customHeight="1">
      <c r="B32" s="80" t="s">
        <v>504</v>
      </c>
      <c r="C32" s="104">
        <v>0.93</v>
      </c>
      <c r="D32" s="80" t="s">
        <v>477</v>
      </c>
      <c r="E32" s="103" t="s">
        <v>505</v>
      </c>
      <c r="F32" s="14"/>
      <c r="G32" s="15"/>
    </row>
    <row r="33" ht="15.75" customHeight="1">
      <c r="B33" s="80" t="s">
        <v>506</v>
      </c>
      <c r="C33" s="104">
        <v>0.94</v>
      </c>
      <c r="D33" s="80" t="s">
        <v>477</v>
      </c>
      <c r="E33" s="103" t="s">
        <v>507</v>
      </c>
      <c r="F33" s="14"/>
      <c r="G33" s="15"/>
    </row>
    <row r="34" ht="15.75" customHeight="1">
      <c r="B34" s="80" t="s">
        <v>508</v>
      </c>
      <c r="C34" s="104">
        <f t="shared" ref="C34:C35" si="2">1-C32</f>
        <v>0.07</v>
      </c>
      <c r="D34" s="80" t="s">
        <v>477</v>
      </c>
      <c r="E34" s="103" t="s">
        <v>509</v>
      </c>
      <c r="F34" s="14"/>
      <c r="G34" s="15"/>
    </row>
    <row r="35" ht="15.75" customHeight="1">
      <c r="B35" s="80" t="s">
        <v>510</v>
      </c>
      <c r="C35" s="104">
        <f t="shared" si="2"/>
        <v>0.06</v>
      </c>
      <c r="D35" s="80" t="s">
        <v>477</v>
      </c>
      <c r="E35" s="103" t="s">
        <v>511</v>
      </c>
      <c r="F35" s="14"/>
      <c r="G35" s="15"/>
    </row>
    <row r="36" ht="15.75" customHeight="1">
      <c r="B36" s="80" t="s">
        <v>512</v>
      </c>
      <c r="C36" s="104">
        <f>C34-C35</f>
        <v>0.01</v>
      </c>
      <c r="D36" s="80" t="s">
        <v>513</v>
      </c>
      <c r="E36" s="103" t="s">
        <v>514</v>
      </c>
      <c r="F36" s="14"/>
      <c r="G36" s="15"/>
    </row>
    <row r="37" ht="15.75" customHeight="1">
      <c r="B37" s="80" t="s">
        <v>515</v>
      </c>
      <c r="C37" s="102">
        <f>C11*C36</f>
        <v>61000</v>
      </c>
      <c r="D37" s="80" t="s">
        <v>445</v>
      </c>
      <c r="E37" s="103" t="s">
        <v>516</v>
      </c>
      <c r="F37" s="14"/>
      <c r="G37" s="15"/>
    </row>
    <row r="38" ht="15.75" customHeight="1">
      <c r="B38" s="80" t="s">
        <v>517</v>
      </c>
      <c r="C38" s="106">
        <v>4.0</v>
      </c>
      <c r="D38" s="80" t="s">
        <v>518</v>
      </c>
      <c r="E38" s="103" t="s">
        <v>519</v>
      </c>
      <c r="F38" s="14"/>
      <c r="G38" s="15"/>
    </row>
    <row r="39" ht="15.75" customHeight="1">
      <c r="B39" s="80" t="s">
        <v>520</v>
      </c>
      <c r="C39" s="107">
        <v>4.5E7</v>
      </c>
      <c r="D39" s="80" t="s">
        <v>521</v>
      </c>
      <c r="E39" s="103" t="s">
        <v>522</v>
      </c>
      <c r="F39" s="14"/>
      <c r="G39" s="15"/>
    </row>
    <row r="40" ht="15.75" customHeight="1">
      <c r="B40" s="80" t="s">
        <v>523</v>
      </c>
      <c r="C40" s="107">
        <f>C38*C39</f>
        <v>180000000</v>
      </c>
      <c r="D40" s="80" t="s">
        <v>521</v>
      </c>
      <c r="E40" s="103" t="s">
        <v>524</v>
      </c>
      <c r="F40" s="14"/>
      <c r="G40" s="15"/>
    </row>
    <row r="41" ht="15.75" customHeight="1">
      <c r="B41" s="80" t="s">
        <v>525</v>
      </c>
      <c r="C41" s="108">
        <v>0.05</v>
      </c>
      <c r="D41" s="80" t="s">
        <v>526</v>
      </c>
      <c r="E41" s="109" t="s">
        <v>527</v>
      </c>
      <c r="F41" s="14"/>
      <c r="G41" s="15"/>
      <c r="H41" s="70"/>
    </row>
    <row r="42" ht="15.75" customHeight="1">
      <c r="E42" s="110" t="s">
        <v>528</v>
      </c>
      <c r="F42" s="14"/>
      <c r="G42" s="15"/>
    </row>
    <row r="43" ht="15.75" customHeight="1">
      <c r="E43" s="110" t="s">
        <v>529</v>
      </c>
      <c r="F43" s="14"/>
      <c r="G43" s="15"/>
    </row>
    <row r="44" ht="15.75" customHeight="1"/>
    <row r="45" ht="15.75" customHeight="1"/>
    <row r="46" ht="15.75" customHeight="1">
      <c r="B46" s="111" t="s">
        <v>530</v>
      </c>
      <c r="C46" s="111" t="s">
        <v>437</v>
      </c>
      <c r="D46" s="111" t="s">
        <v>438</v>
      </c>
      <c r="E46" s="112" t="s">
        <v>439</v>
      </c>
      <c r="F46" s="14"/>
      <c r="G46" s="15"/>
    </row>
    <row r="47" ht="15.75" customHeight="1">
      <c r="B47" s="80" t="s">
        <v>531</v>
      </c>
      <c r="C47" s="113">
        <v>3750.0</v>
      </c>
      <c r="D47" s="80" t="s">
        <v>532</v>
      </c>
      <c r="E47" s="103" t="s">
        <v>533</v>
      </c>
      <c r="F47" s="14"/>
      <c r="G47" s="15"/>
    </row>
    <row r="48" ht="15.75" customHeight="1">
      <c r="B48" s="80" t="s">
        <v>534</v>
      </c>
      <c r="C48" s="113">
        <v>2025.0</v>
      </c>
      <c r="D48" s="80" t="s">
        <v>532</v>
      </c>
      <c r="E48" s="103" t="s">
        <v>533</v>
      </c>
      <c r="F48" s="14"/>
      <c r="G48" s="15"/>
    </row>
    <row r="49" ht="15.75" customHeight="1">
      <c r="B49" s="80" t="s">
        <v>535</v>
      </c>
      <c r="C49" s="113">
        <f>C47-C48</f>
        <v>1725</v>
      </c>
      <c r="D49" s="80" t="s">
        <v>532</v>
      </c>
      <c r="E49" s="103" t="s">
        <v>536</v>
      </c>
      <c r="F49" s="14"/>
      <c r="G49" s="15"/>
    </row>
    <row r="50" ht="15.75" customHeight="1">
      <c r="B50" s="80" t="s">
        <v>537</v>
      </c>
      <c r="C50" s="114">
        <v>0.045</v>
      </c>
      <c r="D50" s="80" t="s">
        <v>526</v>
      </c>
      <c r="E50" s="103" t="s">
        <v>538</v>
      </c>
      <c r="F50" s="14"/>
      <c r="G50" s="15"/>
    </row>
    <row r="51" ht="15.75" customHeight="1">
      <c r="B51" s="80" t="s">
        <v>539</v>
      </c>
      <c r="C51" s="114">
        <v>0.04</v>
      </c>
      <c r="D51" s="80" t="s">
        <v>526</v>
      </c>
      <c r="E51" s="103" t="s">
        <v>538</v>
      </c>
      <c r="F51" s="14"/>
      <c r="G51" s="15"/>
    </row>
    <row r="52" ht="15.75" customHeight="1">
      <c r="B52" s="80" t="s">
        <v>540</v>
      </c>
      <c r="C52" s="114">
        <v>0.05</v>
      </c>
      <c r="D52" s="80" t="s">
        <v>526</v>
      </c>
      <c r="E52" s="103" t="s">
        <v>538</v>
      </c>
      <c r="F52" s="14"/>
      <c r="G52" s="15"/>
    </row>
    <row r="53" ht="15.75" customHeight="1">
      <c r="B53" s="80" t="s">
        <v>541</v>
      </c>
      <c r="C53" s="114">
        <v>0.35</v>
      </c>
      <c r="D53" s="80" t="s">
        <v>477</v>
      </c>
      <c r="E53" s="103" t="s">
        <v>542</v>
      </c>
      <c r="F53" s="14"/>
      <c r="G53" s="15"/>
    </row>
    <row r="54" ht="15.75" customHeight="1">
      <c r="B54" s="80" t="s">
        <v>543</v>
      </c>
      <c r="C54" s="114">
        <v>0.14</v>
      </c>
      <c r="D54" s="80" t="s">
        <v>544</v>
      </c>
      <c r="E54" s="103" t="s">
        <v>545</v>
      </c>
      <c r="F54" s="14"/>
      <c r="G54" s="15"/>
    </row>
    <row r="55" ht="15.75" customHeight="1">
      <c r="B55" s="80" t="s">
        <v>546</v>
      </c>
      <c r="C55" s="115">
        <v>5.0</v>
      </c>
      <c r="D55" s="80" t="s">
        <v>547</v>
      </c>
      <c r="E55" s="103" t="s">
        <v>548</v>
      </c>
      <c r="F55" s="14"/>
      <c r="G55" s="15"/>
    </row>
    <row r="56" ht="15.75" customHeight="1">
      <c r="B56" s="80" t="s">
        <v>549</v>
      </c>
      <c r="C56" s="80">
        <v>10.0</v>
      </c>
      <c r="D56" s="80" t="s">
        <v>547</v>
      </c>
      <c r="E56" s="103" t="s">
        <v>550</v>
      </c>
      <c r="F56" s="14"/>
      <c r="G56" s="15"/>
    </row>
    <row r="57" ht="15.75" customHeight="1">
      <c r="B57" s="80" t="s">
        <v>551</v>
      </c>
      <c r="C57" s="67">
        <f>'Presupuesto técnico-comercial'!$K$84</f>
        <v>1224597310</v>
      </c>
      <c r="D57" s="80" t="s">
        <v>552</v>
      </c>
      <c r="E57" s="103" t="s">
        <v>553</v>
      </c>
      <c r="F57" s="14"/>
      <c r="G57" s="15"/>
    </row>
    <row r="58" ht="15.75" customHeight="1">
      <c r="B58" s="80" t="s">
        <v>554</v>
      </c>
      <c r="C58" s="67">
        <f>C57/C56</f>
        <v>122459731</v>
      </c>
      <c r="D58" s="80" t="s">
        <v>521</v>
      </c>
      <c r="E58" s="103" t="s">
        <v>555</v>
      </c>
      <c r="F58" s="14"/>
      <c r="G58" s="15"/>
    </row>
    <row r="59" ht="15.75" customHeight="1">
      <c r="B59" s="80" t="s">
        <v>556</v>
      </c>
      <c r="C59" s="104">
        <v>0.1</v>
      </c>
      <c r="D59" s="80" t="s">
        <v>557</v>
      </c>
      <c r="E59" s="103" t="s">
        <v>558</v>
      </c>
      <c r="F59" s="14"/>
      <c r="G59" s="15"/>
    </row>
    <row r="60" ht="15.75" customHeight="1">
      <c r="B60" s="80" t="s">
        <v>559</v>
      </c>
      <c r="C60" s="67">
        <f>C63*C59</f>
        <v>122459731</v>
      </c>
      <c r="D60" s="80" t="s">
        <v>552</v>
      </c>
      <c r="E60" s="103" t="s">
        <v>560</v>
      </c>
      <c r="F60" s="14"/>
      <c r="G60" s="15"/>
    </row>
    <row r="61" ht="15.75" customHeight="1">
      <c r="B61" s="80" t="s">
        <v>561</v>
      </c>
      <c r="C61" s="104">
        <v>0.03</v>
      </c>
      <c r="D61" s="80" t="s">
        <v>557</v>
      </c>
      <c r="E61" s="103" t="s">
        <v>562</v>
      </c>
      <c r="F61" s="14"/>
      <c r="G61" s="15"/>
    </row>
    <row r="62" ht="15.75" customHeight="1">
      <c r="B62" s="80" t="s">
        <v>563</v>
      </c>
      <c r="C62" s="67">
        <f>C63*C61</f>
        <v>36737919.29</v>
      </c>
      <c r="D62" s="80" t="s">
        <v>521</v>
      </c>
      <c r="E62" s="103" t="s">
        <v>564</v>
      </c>
      <c r="F62" s="14"/>
      <c r="G62" s="15"/>
    </row>
    <row r="63" ht="15.75" customHeight="1">
      <c r="B63" s="80" t="s">
        <v>565</v>
      </c>
      <c r="C63" s="67">
        <f>'Presupuesto técnico-comercial'!$K$84</f>
        <v>1224597310</v>
      </c>
      <c r="D63" s="80" t="s">
        <v>552</v>
      </c>
      <c r="E63" s="103" t="s">
        <v>566</v>
      </c>
      <c r="F63" s="14"/>
      <c r="G63" s="15"/>
    </row>
    <row r="64" ht="15.75" customHeight="1"/>
    <row r="65" ht="15.75" customHeight="1"/>
    <row r="66" ht="15.75" customHeight="1"/>
    <row r="67" ht="15.75" customHeight="1"/>
    <row r="68" ht="15.75" customHeight="1">
      <c r="B68" s="91" t="s">
        <v>567</v>
      </c>
      <c r="C68" s="3"/>
    </row>
    <row r="69" ht="15.75" customHeight="1">
      <c r="B69" s="7"/>
      <c r="C69" s="9"/>
    </row>
    <row r="70" ht="15.75" customHeight="1"/>
    <row r="71" ht="15.75" customHeight="1">
      <c r="B71" s="111" t="s">
        <v>83</v>
      </c>
      <c r="C71" s="111" t="s">
        <v>568</v>
      </c>
      <c r="D71" s="116" t="s">
        <v>439</v>
      </c>
    </row>
    <row r="72" ht="15.75" customHeight="1">
      <c r="B72" s="80" t="s">
        <v>569</v>
      </c>
      <c r="C72" s="113">
        <f>'Presupuesto técnico-comercial'!$G$47</f>
        <v>47086918.42</v>
      </c>
      <c r="D72" s="117" t="s">
        <v>570</v>
      </c>
    </row>
    <row r="73" ht="15.75" customHeight="1">
      <c r="B73" s="80" t="s">
        <v>418</v>
      </c>
      <c r="C73" s="113">
        <f>'Presupuesto técnico-comercial'!$G$93</f>
        <v>483426000</v>
      </c>
      <c r="D73" s="117" t="s">
        <v>570</v>
      </c>
    </row>
    <row r="74" ht="15.75" customHeight="1">
      <c r="B74" s="80" t="s">
        <v>421</v>
      </c>
      <c r="C74" s="113">
        <f>'Presupuesto técnico-comercial'!$E$146</f>
        <v>120952000</v>
      </c>
      <c r="D74" s="117" t="s">
        <v>570</v>
      </c>
    </row>
    <row r="75" ht="15.75" customHeight="1">
      <c r="B75" s="80" t="s">
        <v>571</v>
      </c>
      <c r="C75" s="113">
        <f>'Presupuesto técnico-comercial'!$E$104</f>
        <v>28762000</v>
      </c>
      <c r="D75" s="117" t="s">
        <v>570</v>
      </c>
    </row>
    <row r="76" ht="15.75" customHeight="1">
      <c r="B76" s="80" t="s">
        <v>426</v>
      </c>
      <c r="C76" s="113">
        <f>'Presupuesto técnico-comercial'!$D$163</f>
        <v>30572000</v>
      </c>
      <c r="D76" s="117" t="s">
        <v>570</v>
      </c>
    </row>
    <row r="77" ht="15.75" customHeight="1">
      <c r="B77" s="80" t="s">
        <v>572</v>
      </c>
      <c r="C77" s="113">
        <f>'Presupuesto técnico-comercial'!$H$185</f>
        <v>185866500</v>
      </c>
      <c r="D77" s="117" t="s">
        <v>570</v>
      </c>
    </row>
    <row r="78" ht="15.75" customHeight="1">
      <c r="B78" s="80" t="s">
        <v>573</v>
      </c>
      <c r="C78" s="113">
        <f>'Presupuesto técnico-comercial'!$H$208</f>
        <v>47284400</v>
      </c>
      <c r="D78" s="117" t="s">
        <v>570</v>
      </c>
    </row>
    <row r="79" ht="15.75" customHeight="1">
      <c r="B79" s="80" t="s">
        <v>574</v>
      </c>
      <c r="C79" s="113">
        <f>'Presupuesto técnico-comercial'!$C$237</f>
        <v>23406000</v>
      </c>
      <c r="D79" s="117" t="s">
        <v>570</v>
      </c>
    </row>
    <row r="80" ht="15.75" customHeight="1">
      <c r="B80" s="80" t="s">
        <v>147</v>
      </c>
      <c r="C80" s="113">
        <f>'Presupuesto técnico-comercial'!$K$32</f>
        <v>14750000</v>
      </c>
      <c r="D80" s="117" t="s">
        <v>570</v>
      </c>
    </row>
    <row r="81" ht="15.75" customHeight="1">
      <c r="B81" s="80" t="s">
        <v>151</v>
      </c>
      <c r="C81" s="67">
        <f>'Presupuesto técnico-comercial'!$L$44</f>
        <v>68131407.29</v>
      </c>
      <c r="D81" s="117" t="s">
        <v>575</v>
      </c>
    </row>
    <row r="82" ht="15.75" customHeight="1">
      <c r="B82" s="80" t="s">
        <v>576</v>
      </c>
      <c r="C82" s="67">
        <f>'Presupuesto técnico-comercial'!$O$57</f>
        <v>14630000</v>
      </c>
      <c r="D82" s="117" t="s">
        <v>570</v>
      </c>
    </row>
    <row r="83" ht="15.75" customHeight="1">
      <c r="B83" s="80" t="s">
        <v>577</v>
      </c>
      <c r="C83" s="67">
        <f>'Presupuesto técnico-comercial'!$K$83</f>
        <v>159730083.9</v>
      </c>
      <c r="D83" s="117" t="s">
        <v>578</v>
      </c>
    </row>
    <row r="84" ht="15.75" customHeight="1">
      <c r="B84" s="80" t="s">
        <v>579</v>
      </c>
      <c r="C84" s="67">
        <f>SUM(C72:C83)</f>
        <v>1224597310</v>
      </c>
      <c r="D84" s="117" t="s">
        <v>580</v>
      </c>
    </row>
    <row r="85" ht="15.75" customHeight="1">
      <c r="B85" s="80" t="s">
        <v>581</v>
      </c>
      <c r="C85" s="67">
        <f>C84</f>
        <v>1224597310</v>
      </c>
      <c r="D85" s="117" t="s">
        <v>582</v>
      </c>
    </row>
    <row r="86" ht="15.75" customHeight="1"/>
    <row r="87" ht="15.75" customHeight="1"/>
    <row r="88" ht="15.75" customHeight="1"/>
    <row r="89" ht="15.75" customHeight="1">
      <c r="B89" s="91" t="s">
        <v>583</v>
      </c>
      <c r="C89" s="2"/>
      <c r="D89" s="3"/>
    </row>
    <row r="90" ht="15.75" customHeight="1">
      <c r="B90" s="7"/>
      <c r="C90" s="8"/>
      <c r="D90" s="9"/>
    </row>
    <row r="91" ht="15.75" customHeight="1"/>
    <row r="92" ht="15.75" customHeight="1">
      <c r="B92" s="111" t="s">
        <v>584</v>
      </c>
      <c r="C92" s="111" t="s">
        <v>585</v>
      </c>
      <c r="D92" s="111" t="s">
        <v>586</v>
      </c>
      <c r="E92" s="111" t="s">
        <v>587</v>
      </c>
      <c r="F92" s="111" t="s">
        <v>588</v>
      </c>
      <c r="G92" s="111" t="s">
        <v>589</v>
      </c>
    </row>
    <row r="93" ht="15.75" customHeight="1">
      <c r="B93" s="80" t="s">
        <v>590</v>
      </c>
      <c r="C93" s="113">
        <f>$C$62</f>
        <v>36737919.29</v>
      </c>
      <c r="D93" s="67">
        <f t="shared" ref="D93:G93" si="3">C93*(1+$C$51)</f>
        <v>38207436.06</v>
      </c>
      <c r="E93" s="67">
        <f t="shared" si="3"/>
        <v>39735733.5</v>
      </c>
      <c r="F93" s="67">
        <f t="shared" si="3"/>
        <v>41325162.84</v>
      </c>
      <c r="G93" s="67">
        <f t="shared" si="3"/>
        <v>42978169.35</v>
      </c>
    </row>
    <row r="94" ht="15.75" customHeight="1">
      <c r="B94" s="80" t="s">
        <v>591</v>
      </c>
      <c r="C94" s="113">
        <v>1.8E7</v>
      </c>
      <c r="D94" s="67">
        <f t="shared" ref="D94:G94" si="4">C94*(1+$C$51)</f>
        <v>18720000</v>
      </c>
      <c r="E94" s="67">
        <f t="shared" si="4"/>
        <v>19468800</v>
      </c>
      <c r="F94" s="67">
        <f t="shared" si="4"/>
        <v>20247552</v>
      </c>
      <c r="G94" s="67">
        <f t="shared" si="4"/>
        <v>21057454.08</v>
      </c>
    </row>
    <row r="95" ht="15.75" customHeight="1">
      <c r="B95" s="80" t="s">
        <v>592</v>
      </c>
      <c r="C95" s="113">
        <v>1.2E7</v>
      </c>
      <c r="D95" s="67">
        <f t="shared" ref="D95:G95" si="5">C95*(1+$C$51)</f>
        <v>12480000</v>
      </c>
      <c r="E95" s="67">
        <f t="shared" si="5"/>
        <v>12979200</v>
      </c>
      <c r="F95" s="67">
        <f t="shared" si="5"/>
        <v>13498368</v>
      </c>
      <c r="G95" s="67">
        <f t="shared" si="5"/>
        <v>14038302.72</v>
      </c>
    </row>
    <row r="96" ht="15.75" customHeight="1">
      <c r="B96" s="80" t="s">
        <v>593</v>
      </c>
      <c r="C96" s="113">
        <v>8000000.0</v>
      </c>
      <c r="D96" s="67">
        <v>4000000.0</v>
      </c>
      <c r="E96" s="67">
        <f t="shared" ref="E96:G96" si="6">D96*(1+$C$51)</f>
        <v>4160000</v>
      </c>
      <c r="F96" s="67">
        <f t="shared" si="6"/>
        <v>4326400</v>
      </c>
      <c r="G96" s="67">
        <f t="shared" si="6"/>
        <v>4499456</v>
      </c>
    </row>
    <row r="97" ht="15.75" customHeight="1">
      <c r="B97" s="80" t="s">
        <v>594</v>
      </c>
      <c r="C97" s="113">
        <v>1.0E7</v>
      </c>
      <c r="D97" s="67">
        <f t="shared" ref="D97:G97" si="7">C97*(1+$C$51)</f>
        <v>10400000</v>
      </c>
      <c r="E97" s="67">
        <f t="shared" si="7"/>
        <v>10816000</v>
      </c>
      <c r="F97" s="67">
        <f t="shared" si="7"/>
        <v>11248640</v>
      </c>
      <c r="G97" s="67">
        <f t="shared" si="7"/>
        <v>11698585.6</v>
      </c>
    </row>
    <row r="98" ht="15.75" customHeight="1">
      <c r="B98" s="80" t="s">
        <v>595</v>
      </c>
      <c r="C98" s="113">
        <f t="shared" ref="C98:G98" si="8">SUM(C93:C97)</f>
        <v>84737919.29</v>
      </c>
      <c r="D98" s="67">
        <f t="shared" si="8"/>
        <v>83807436.06</v>
      </c>
      <c r="E98" s="67">
        <f t="shared" si="8"/>
        <v>87159733.5</v>
      </c>
      <c r="F98" s="67">
        <f t="shared" si="8"/>
        <v>90646122.84</v>
      </c>
      <c r="G98" s="67">
        <f t="shared" si="8"/>
        <v>94271967.75</v>
      </c>
    </row>
    <row r="99" ht="15.75" customHeight="1">
      <c r="B99" s="70"/>
      <c r="C99" s="118"/>
      <c r="D99" s="70"/>
    </row>
    <row r="100" ht="15.75" customHeight="1"/>
    <row r="101" ht="15.75" customHeight="1"/>
    <row r="102" ht="15.75" customHeight="1">
      <c r="I102" s="119"/>
      <c r="J102" s="119"/>
      <c r="K102" s="119"/>
      <c r="L102" s="119"/>
    </row>
    <row r="103" ht="15.75" customHeight="1">
      <c r="B103" s="91" t="s">
        <v>596</v>
      </c>
      <c r="C103" s="2"/>
      <c r="D103" s="3"/>
      <c r="I103" s="119"/>
      <c r="J103" s="119"/>
      <c r="K103" s="119"/>
      <c r="L103" s="119"/>
    </row>
    <row r="104" ht="15.75" customHeight="1">
      <c r="B104" s="7"/>
      <c r="C104" s="8"/>
      <c r="D104" s="9"/>
      <c r="I104" s="119"/>
      <c r="J104" s="119" t="s">
        <v>597</v>
      </c>
      <c r="K104" s="119"/>
      <c r="L104" s="119"/>
    </row>
    <row r="105" ht="15.75" customHeight="1">
      <c r="I105" s="119"/>
      <c r="J105" s="119" t="s">
        <v>598</v>
      </c>
      <c r="K105" s="120">
        <f t="array" ref="K105">NPV($C$54,D117:H117)+C117</f>
        <v>797768472.7</v>
      </c>
      <c r="L105" s="119"/>
    </row>
    <row r="106" ht="15.75" customHeight="1">
      <c r="B106" s="121" t="s">
        <v>83</v>
      </c>
      <c r="C106" s="122" t="s">
        <v>599</v>
      </c>
      <c r="D106" s="121" t="s">
        <v>585</v>
      </c>
      <c r="E106" s="121" t="s">
        <v>586</v>
      </c>
      <c r="F106" s="121" t="s">
        <v>587</v>
      </c>
      <c r="G106" s="121" t="s">
        <v>588</v>
      </c>
      <c r="H106" s="121" t="s">
        <v>589</v>
      </c>
      <c r="I106" s="119"/>
      <c r="J106" s="119" t="s">
        <v>600</v>
      </c>
      <c r="K106" s="123">
        <f>IRR(C117:H117)</f>
        <v>0.3763545997</v>
      </c>
      <c r="L106" s="119"/>
    </row>
    <row r="107" ht="15.75" customHeight="1">
      <c r="B107" s="80" t="s">
        <v>601</v>
      </c>
      <c r="C107" s="124">
        <f t="shared" ref="C107:C114" si="10">0</f>
        <v>0</v>
      </c>
      <c r="D107" s="125">
        <f t="shared" ref="D107:H107" si="9">C132</f>
        <v>854050000</v>
      </c>
      <c r="E107" s="126">
        <f t="shared" si="9"/>
        <v>894754750</v>
      </c>
      <c r="F107" s="126">
        <f t="shared" si="9"/>
        <v>909343390</v>
      </c>
      <c r="G107" s="126">
        <f t="shared" si="9"/>
        <v>924610075.6</v>
      </c>
      <c r="H107" s="126">
        <f t="shared" si="9"/>
        <v>940586653.6</v>
      </c>
      <c r="I107" s="119"/>
      <c r="J107" s="119" t="s">
        <v>602</v>
      </c>
      <c r="K107" s="127">
        <f>IF(H118&lt;0,"&gt;5 años",IF(D118&gt;=0,ABS(C118)/D117,IF(E118&gt;=0,1+ABS(D118)/E117,IF(F118&gt;=0,2+ABS(E118)/F117,IF(G118&gt;=0,3+ABS(F118)/G117,4+ABS(G118)/H117)))))</f>
        <v>2.193505468</v>
      </c>
      <c r="L107" s="119"/>
    </row>
    <row r="108" ht="15.75" customHeight="1">
      <c r="B108" s="80" t="s">
        <v>603</v>
      </c>
      <c r="C108" s="124">
        <f t="shared" si="10"/>
        <v>0</v>
      </c>
      <c r="D108" s="125">
        <f t="shared" ref="D108:H108" si="11">-C98</f>
        <v>-84737919.29</v>
      </c>
      <c r="E108" s="126">
        <f t="shared" si="11"/>
        <v>-83807436.06</v>
      </c>
      <c r="F108" s="126">
        <f t="shared" si="11"/>
        <v>-87159733.5</v>
      </c>
      <c r="G108" s="126">
        <f t="shared" si="11"/>
        <v>-90646122.84</v>
      </c>
      <c r="H108" s="126">
        <f t="shared" si="11"/>
        <v>-94271967.75</v>
      </c>
      <c r="I108" s="119"/>
      <c r="J108" s="119" t="s">
        <v>604</v>
      </c>
      <c r="K108" s="128">
        <f>SUM(C117:H117)/ABS(C117)</f>
        <v>1.44205449</v>
      </c>
      <c r="L108" s="119"/>
    </row>
    <row r="109" ht="15.75" customHeight="1">
      <c r="B109" s="80" t="s">
        <v>605</v>
      </c>
      <c r="C109" s="124">
        <f t="shared" si="10"/>
        <v>0</v>
      </c>
      <c r="D109" s="125">
        <f t="shared" ref="D109:H109" si="12">SUM(D107:D108)</f>
        <v>769312080.7</v>
      </c>
      <c r="E109" s="126">
        <f t="shared" si="12"/>
        <v>810947313.9</v>
      </c>
      <c r="F109" s="126">
        <f t="shared" si="12"/>
        <v>822183656.5</v>
      </c>
      <c r="G109" s="126">
        <f t="shared" si="12"/>
        <v>833963952.8</v>
      </c>
      <c r="H109" s="126">
        <f t="shared" si="12"/>
        <v>846314685.9</v>
      </c>
      <c r="I109" s="119"/>
      <c r="J109" s="119" t="s">
        <v>606</v>
      </c>
      <c r="K109" s="128">
        <f t="array" ref="K109">NPV($C$54,D107:H107)/(ABS(C115)+ABS(NPV($C$54,D108:H108)))</f>
        <v>2.024678052</v>
      </c>
      <c r="L109" s="119"/>
    </row>
    <row r="110" ht="15.75" customHeight="1">
      <c r="B110" s="80" t="s">
        <v>607</v>
      </c>
      <c r="C110" s="124">
        <f t="shared" si="10"/>
        <v>0</v>
      </c>
      <c r="D110" s="125">
        <f t="shared" ref="D110:H110" si="13">-$C$58</f>
        <v>-122459731</v>
      </c>
      <c r="E110" s="126">
        <f t="shared" si="13"/>
        <v>-122459731</v>
      </c>
      <c r="F110" s="126">
        <f t="shared" si="13"/>
        <v>-122459731</v>
      </c>
      <c r="G110" s="126">
        <f t="shared" si="13"/>
        <v>-122459731</v>
      </c>
      <c r="H110" s="126">
        <f t="shared" si="13"/>
        <v>-122459731</v>
      </c>
      <c r="I110" s="119"/>
      <c r="J110" s="119" t="s">
        <v>608</v>
      </c>
      <c r="K110" s="119" t="s">
        <v>609</v>
      </c>
      <c r="L110" s="119"/>
    </row>
    <row r="111" ht="15.75" customHeight="1">
      <c r="B111" s="80" t="s">
        <v>610</v>
      </c>
      <c r="C111" s="124">
        <f t="shared" si="10"/>
        <v>0</v>
      </c>
      <c r="D111" s="125">
        <f t="shared" ref="D111:H111" si="14">SUM(D109:D110)</f>
        <v>646852349.8</v>
      </c>
      <c r="E111" s="126">
        <f t="shared" si="14"/>
        <v>688487583</v>
      </c>
      <c r="F111" s="126">
        <f t="shared" si="14"/>
        <v>699723925.5</v>
      </c>
      <c r="G111" s="126">
        <f t="shared" si="14"/>
        <v>711504221.8</v>
      </c>
      <c r="H111" s="126">
        <f t="shared" si="14"/>
        <v>723854954.9</v>
      </c>
      <c r="I111" s="119"/>
      <c r="J111" s="119" t="s">
        <v>611</v>
      </c>
      <c r="K111" s="119" t="str">
        <f>IF(AND(K105&gt;0,K106&gt;$C$54),"VIABLE","NO VIABLE")</f>
        <v>VIABLE</v>
      </c>
      <c r="L111" s="119"/>
    </row>
    <row r="112" ht="15.75" customHeight="1">
      <c r="B112" s="80" t="s">
        <v>612</v>
      </c>
      <c r="C112" s="124">
        <f t="shared" si="10"/>
        <v>0</v>
      </c>
      <c r="D112" s="125">
        <f t="shared" ref="D112:H112" si="15">-MAX(0,D111*$C$53)</f>
        <v>-226398322.4</v>
      </c>
      <c r="E112" s="126">
        <f t="shared" si="15"/>
        <v>-240970654</v>
      </c>
      <c r="F112" s="126">
        <f t="shared" si="15"/>
        <v>-244903373.9</v>
      </c>
      <c r="G112" s="126">
        <f t="shared" si="15"/>
        <v>-249026477.6</v>
      </c>
      <c r="H112" s="126">
        <f t="shared" si="15"/>
        <v>-253349234.2</v>
      </c>
      <c r="I112" s="119"/>
      <c r="J112" s="119"/>
      <c r="K112" s="119"/>
      <c r="L112" s="119"/>
    </row>
    <row r="113" ht="15.75" customHeight="1">
      <c r="B113" s="80" t="s">
        <v>613</v>
      </c>
      <c r="C113" s="124">
        <f t="shared" si="10"/>
        <v>0</v>
      </c>
      <c r="D113" s="125">
        <f t="shared" ref="D113:H113" si="16">-D110</f>
        <v>122459731</v>
      </c>
      <c r="E113" s="126">
        <f t="shared" si="16"/>
        <v>122459731</v>
      </c>
      <c r="F113" s="126">
        <f t="shared" si="16"/>
        <v>122459731</v>
      </c>
      <c r="G113" s="126">
        <f t="shared" si="16"/>
        <v>122459731</v>
      </c>
      <c r="H113" s="126">
        <f t="shared" si="16"/>
        <v>122459731</v>
      </c>
      <c r="I113" s="119"/>
      <c r="J113" s="119"/>
      <c r="K113" s="119"/>
      <c r="L113" s="119"/>
    </row>
    <row r="114" ht="15.75" customHeight="1">
      <c r="B114" s="80" t="s">
        <v>614</v>
      </c>
      <c r="C114" s="124">
        <f t="shared" si="10"/>
        <v>0</v>
      </c>
      <c r="D114" s="125">
        <f t="shared" ref="D114:H114" si="17">SUM(D111:D113)</f>
        <v>542913758.3</v>
      </c>
      <c r="E114" s="126">
        <f t="shared" si="17"/>
        <v>569976659.9</v>
      </c>
      <c r="F114" s="126">
        <f t="shared" si="17"/>
        <v>577280282.6</v>
      </c>
      <c r="G114" s="126">
        <f t="shared" si="17"/>
        <v>584937475.1</v>
      </c>
      <c r="H114" s="126">
        <f t="shared" si="17"/>
        <v>592965451.7</v>
      </c>
    </row>
    <row r="115" ht="15.75" customHeight="1">
      <c r="B115" s="80" t="s">
        <v>615</v>
      </c>
      <c r="C115" s="125">
        <f>-$C$85</f>
        <v>-1224597310</v>
      </c>
      <c r="D115" s="125">
        <f t="shared" ref="D115:H115" si="18">0</f>
        <v>0</v>
      </c>
      <c r="E115" s="126">
        <f t="shared" si="18"/>
        <v>0</v>
      </c>
      <c r="F115" s="126">
        <f t="shared" si="18"/>
        <v>0</v>
      </c>
      <c r="G115" s="126">
        <f t="shared" si="18"/>
        <v>0</v>
      </c>
      <c r="H115" s="126">
        <f t="shared" si="18"/>
        <v>0</v>
      </c>
    </row>
    <row r="116" ht="15.75" customHeight="1">
      <c r="B116" s="80" t="s">
        <v>556</v>
      </c>
      <c r="C116" s="125">
        <f t="shared" ref="C116:G116" si="19">0</f>
        <v>0</v>
      </c>
      <c r="D116" s="125">
        <f t="shared" si="19"/>
        <v>0</v>
      </c>
      <c r="E116" s="126">
        <f t="shared" si="19"/>
        <v>0</v>
      </c>
      <c r="F116" s="126">
        <f t="shared" si="19"/>
        <v>0</v>
      </c>
      <c r="G116" s="126">
        <f t="shared" si="19"/>
        <v>0</v>
      </c>
      <c r="H116" s="126">
        <f>$C$60</f>
        <v>122459731</v>
      </c>
    </row>
    <row r="117" ht="15.75" customHeight="1">
      <c r="B117" s="80" t="s">
        <v>616</v>
      </c>
      <c r="C117" s="125">
        <f t="shared" ref="C117:H117" si="20">SUM(C114:C116)</f>
        <v>-1224597310</v>
      </c>
      <c r="D117" s="125">
        <f t="shared" si="20"/>
        <v>542913758.3</v>
      </c>
      <c r="E117" s="126">
        <f t="shared" si="20"/>
        <v>569976659.9</v>
      </c>
      <c r="F117" s="126">
        <f t="shared" si="20"/>
        <v>577280282.6</v>
      </c>
      <c r="G117" s="126">
        <f t="shared" si="20"/>
        <v>584937475.1</v>
      </c>
      <c r="H117" s="126">
        <f t="shared" si="20"/>
        <v>715425182.6</v>
      </c>
    </row>
    <row r="118" ht="15.75" customHeight="1">
      <c r="B118" s="80" t="s">
        <v>617</v>
      </c>
      <c r="C118" s="125">
        <f>C117</f>
        <v>-1224597310</v>
      </c>
      <c r="D118" s="125">
        <f t="shared" ref="D118:H118" si="21">C118+D117</f>
        <v>-681683551.3</v>
      </c>
      <c r="E118" s="126">
        <f t="shared" si="21"/>
        <v>-111706891.4</v>
      </c>
      <c r="F118" s="126">
        <f t="shared" si="21"/>
        <v>465573391.2</v>
      </c>
      <c r="G118" s="126">
        <f t="shared" si="21"/>
        <v>1050510866</v>
      </c>
      <c r="H118" s="126">
        <f t="shared" si="21"/>
        <v>1765936049</v>
      </c>
    </row>
    <row r="119" ht="15.75" customHeight="1">
      <c r="B119" s="80" t="s">
        <v>618</v>
      </c>
      <c r="C119" s="129">
        <f>1</f>
        <v>1</v>
      </c>
      <c r="D119" s="129">
        <f>1/(1+$C$54)^1</f>
        <v>0.8771929825</v>
      </c>
      <c r="E119" s="130">
        <f>1/(1+$C$54)^2</f>
        <v>0.7694675285</v>
      </c>
      <c r="F119" s="130">
        <f>1/(1+$C$54)^3</f>
        <v>0.6749715162</v>
      </c>
      <c r="G119" s="130">
        <f>1/(1+$C$54)^4</f>
        <v>0.5920802774</v>
      </c>
      <c r="H119" s="130">
        <f>1/(1+$C$54)^5</f>
        <v>0.5193686644</v>
      </c>
    </row>
    <row r="120" ht="15.75" customHeight="1">
      <c r="B120" s="80" t="s">
        <v>619</v>
      </c>
      <c r="C120" s="126">
        <f t="shared" ref="C120:H120" si="22">C117*C119</f>
        <v>-1224597310</v>
      </c>
      <c r="D120" s="126">
        <f t="shared" si="22"/>
        <v>476240138.9</v>
      </c>
      <c r="E120" s="126">
        <f t="shared" si="22"/>
        <v>438578531.8</v>
      </c>
      <c r="F120" s="126">
        <f t="shared" si="22"/>
        <v>389647747.6</v>
      </c>
      <c r="G120" s="126">
        <f t="shared" si="22"/>
        <v>346329942.5</v>
      </c>
      <c r="H120" s="126">
        <f t="shared" si="22"/>
        <v>371569421.5</v>
      </c>
    </row>
    <row r="121" ht="15.75" customHeight="1">
      <c r="B121" s="80" t="s">
        <v>620</v>
      </c>
      <c r="C121" s="126">
        <f>C120</f>
        <v>-1224597310</v>
      </c>
      <c r="D121" s="126">
        <f t="shared" ref="D121:H121" si="23">C121+D120</f>
        <v>-748357170.7</v>
      </c>
      <c r="E121" s="126">
        <f t="shared" si="23"/>
        <v>-309778638.9</v>
      </c>
      <c r="F121" s="126">
        <f t="shared" si="23"/>
        <v>79869108.66</v>
      </c>
      <c r="G121" s="126">
        <f t="shared" si="23"/>
        <v>426199051.2</v>
      </c>
      <c r="H121" s="126">
        <f t="shared" si="23"/>
        <v>797768472.7</v>
      </c>
    </row>
    <row r="122" ht="15.75" customHeight="1">
      <c r="C122" s="131">
        <f t="shared" ref="C122:H122" si="24">C117-SUM(C114:C116)</f>
        <v>0</v>
      </c>
      <c r="D122" s="131">
        <f t="shared" si="24"/>
        <v>0</v>
      </c>
      <c r="E122" s="131">
        <f t="shared" si="24"/>
        <v>0</v>
      </c>
      <c r="F122" s="131">
        <f t="shared" si="24"/>
        <v>0</v>
      </c>
      <c r="G122" s="131">
        <f t="shared" si="24"/>
        <v>0</v>
      </c>
      <c r="H122" s="131">
        <f t="shared" si="24"/>
        <v>0</v>
      </c>
    </row>
    <row r="123" ht="15.75" customHeight="1"/>
    <row r="124" ht="15.75" customHeight="1">
      <c r="B124" s="132" t="s">
        <v>621</v>
      </c>
      <c r="C124" s="2"/>
      <c r="D124" s="3"/>
      <c r="E124" s="10"/>
      <c r="F124" s="10"/>
      <c r="G124" s="10"/>
      <c r="H124" s="10"/>
    </row>
    <row r="125" ht="15.75" customHeight="1">
      <c r="B125" s="7"/>
      <c r="C125" s="8"/>
      <c r="D125" s="9"/>
      <c r="E125" s="10"/>
      <c r="F125" s="10"/>
      <c r="G125" s="10"/>
      <c r="H125" s="10"/>
    </row>
    <row r="126" ht="15.75" customHeight="1">
      <c r="B126" s="10"/>
      <c r="C126" s="10"/>
      <c r="D126" s="10"/>
      <c r="E126" s="10"/>
      <c r="F126" s="10"/>
      <c r="G126" s="10"/>
      <c r="H126" s="10"/>
    </row>
    <row r="127" ht="15.75" customHeight="1">
      <c r="B127" s="133" t="s">
        <v>622</v>
      </c>
      <c r="C127" s="133" t="s">
        <v>585</v>
      </c>
      <c r="D127" s="133" t="s">
        <v>586</v>
      </c>
      <c r="E127" s="133" t="s">
        <v>587</v>
      </c>
      <c r="F127" s="133" t="s">
        <v>588</v>
      </c>
      <c r="G127" s="133" t="s">
        <v>589</v>
      </c>
      <c r="H127" s="10"/>
    </row>
    <row r="128" ht="15.75" customHeight="1">
      <c r="B128" s="75" t="s">
        <v>623</v>
      </c>
      <c r="C128" s="71">
        <f>$C$25*($C$47-$C$48)</f>
        <v>526125000</v>
      </c>
      <c r="D128" s="71">
        <f t="shared" ref="D128:G128" si="25">$C$25*($C$47*(1+$C$50)^1-$C$48*(1+$C$51)^1)</f>
        <v>552888750</v>
      </c>
      <c r="E128" s="71">
        <f t="shared" si="25"/>
        <v>552888750</v>
      </c>
      <c r="F128" s="71">
        <f t="shared" si="25"/>
        <v>552888750</v>
      </c>
      <c r="G128" s="71">
        <f t="shared" si="25"/>
        <v>552888750</v>
      </c>
      <c r="H128" s="10"/>
    </row>
    <row r="129" ht="15.75" customHeight="1">
      <c r="B129" s="75" t="s">
        <v>624</v>
      </c>
      <c r="C129" s="71">
        <f>$C$37*$C$48</f>
        <v>123525000</v>
      </c>
      <c r="D129" s="71">
        <f t="shared" ref="D129:G129" si="26">C129*(1+$C$51)</f>
        <v>128466000</v>
      </c>
      <c r="E129" s="71">
        <f t="shared" si="26"/>
        <v>133604640</v>
      </c>
      <c r="F129" s="71">
        <f t="shared" si="26"/>
        <v>138948825.6</v>
      </c>
      <c r="G129" s="71">
        <f t="shared" si="26"/>
        <v>144506778.6</v>
      </c>
      <c r="H129" s="10"/>
    </row>
    <row r="130" ht="15.75" customHeight="1">
      <c r="B130" s="75" t="s">
        <v>625</v>
      </c>
      <c r="C130" s="71">
        <f>$C$38*$C$39</f>
        <v>180000000</v>
      </c>
      <c r="D130" s="71">
        <f t="shared" ref="D130:G130" si="27">C130*(1+$C$52)</f>
        <v>189000000</v>
      </c>
      <c r="E130" s="71">
        <f t="shared" si="27"/>
        <v>198450000</v>
      </c>
      <c r="F130" s="71">
        <f t="shared" si="27"/>
        <v>208372500</v>
      </c>
      <c r="G130" s="71">
        <f t="shared" si="27"/>
        <v>218791125</v>
      </c>
      <c r="H130" s="10"/>
    </row>
    <row r="131" ht="15.75" customHeight="1">
      <c r="B131" s="75" t="s">
        <v>626</v>
      </c>
      <c r="C131" s="71">
        <f t="shared" ref="C131:G131" si="28">$M$19</f>
        <v>24400000</v>
      </c>
      <c r="D131" s="71">
        <f t="shared" si="28"/>
        <v>24400000</v>
      </c>
      <c r="E131" s="71">
        <f t="shared" si="28"/>
        <v>24400000</v>
      </c>
      <c r="F131" s="71">
        <f t="shared" si="28"/>
        <v>24400000</v>
      </c>
      <c r="G131" s="71">
        <f t="shared" si="28"/>
        <v>24400000</v>
      </c>
      <c r="H131" s="10"/>
    </row>
    <row r="132" ht="15.75" customHeight="1">
      <c r="B132" s="80" t="s">
        <v>627</v>
      </c>
      <c r="C132" s="134">
        <f t="shared" ref="C132:G132" si="29">SUM(C128:C131)</f>
        <v>854050000</v>
      </c>
      <c r="D132" s="134">
        <f t="shared" si="29"/>
        <v>894754750</v>
      </c>
      <c r="E132" s="134">
        <f t="shared" si="29"/>
        <v>909343390</v>
      </c>
      <c r="F132" s="134">
        <f t="shared" si="29"/>
        <v>924610075.6</v>
      </c>
      <c r="G132" s="134">
        <f t="shared" si="29"/>
        <v>940586653.6</v>
      </c>
    </row>
    <row r="133" ht="15.75" customHeight="1"/>
    <row r="134" ht="15.75" customHeight="1">
      <c r="B134" s="91" t="s">
        <v>628</v>
      </c>
      <c r="C134" s="2"/>
      <c r="D134" s="3"/>
    </row>
    <row r="135" ht="15.75" customHeight="1">
      <c r="B135" s="7"/>
      <c r="C135" s="8"/>
      <c r="D135" s="9"/>
    </row>
    <row r="136" ht="15.75" customHeight="1"/>
    <row r="137" ht="15.75" customHeight="1">
      <c r="B137" s="121" t="s">
        <v>629</v>
      </c>
      <c r="C137" s="121" t="s">
        <v>611</v>
      </c>
      <c r="D137" s="121" t="s">
        <v>438</v>
      </c>
      <c r="E137" s="135" t="s">
        <v>630</v>
      </c>
    </row>
    <row r="138" ht="15.75" customHeight="1">
      <c r="B138" s="80" t="s">
        <v>598</v>
      </c>
      <c r="C138" s="136">
        <f t="shared" ref="C138:C140" si="30">K105</f>
        <v>797768472.7</v>
      </c>
      <c r="D138" s="137" t="s">
        <v>552</v>
      </c>
      <c r="E138" s="138" t="s">
        <v>631</v>
      </c>
    </row>
    <row r="139" ht="15.75" customHeight="1">
      <c r="B139" s="80" t="s">
        <v>600</v>
      </c>
      <c r="C139" s="104">
        <f t="shared" si="30"/>
        <v>0.3763545997</v>
      </c>
      <c r="D139" s="139" t="s">
        <v>544</v>
      </c>
      <c r="E139" s="140" t="s">
        <v>632</v>
      </c>
    </row>
    <row r="140" ht="15.75" customHeight="1">
      <c r="B140" s="80" t="s">
        <v>602</v>
      </c>
      <c r="C140" s="141">
        <f t="shared" si="30"/>
        <v>2.193505468</v>
      </c>
      <c r="D140" s="141" t="s">
        <v>547</v>
      </c>
      <c r="E140" s="142" t="s">
        <v>633</v>
      </c>
    </row>
    <row r="141" ht="15.75" customHeight="1">
      <c r="B141" s="80" t="s">
        <v>634</v>
      </c>
      <c r="C141" s="143">
        <f>IF(H121&lt;0,"&gt;5 años",IF(D121&gt;=0,ABS(C121)/D120,IF(E121&gt;=0,1+ABS(D121)/E120,IF(F121&gt;=0,2+ABS(E121)/F120,IF(G121&gt;=0,3+ABS(F121)/G120,4+ABS(G121)/H120)))))</f>
        <v>2.795022275</v>
      </c>
      <c r="D141" s="143" t="s">
        <v>547</v>
      </c>
      <c r="E141" s="144" t="s">
        <v>635</v>
      </c>
    </row>
    <row r="142" ht="15.75" customHeight="1">
      <c r="B142" s="80" t="s">
        <v>636</v>
      </c>
      <c r="C142" s="104">
        <f>K108</f>
        <v>1.44205449</v>
      </c>
      <c r="D142" s="104" t="s">
        <v>477</v>
      </c>
      <c r="E142" s="145" t="s">
        <v>637</v>
      </c>
    </row>
    <row r="143" ht="15.75" customHeight="1">
      <c r="B143" s="80" t="s">
        <v>638</v>
      </c>
      <c r="C143" s="80" t="str">
        <f>TEXT(K108,"0.00x")</f>
        <v>1.44x</v>
      </c>
      <c r="D143" s="80" t="s">
        <v>639</v>
      </c>
      <c r="E143" s="117" t="s">
        <v>640</v>
      </c>
    </row>
    <row r="144" ht="15.75" customHeight="1">
      <c r="B144" s="80" t="s">
        <v>606</v>
      </c>
      <c r="C144" s="146">
        <f>K109</f>
        <v>2.024678052</v>
      </c>
      <c r="D144" s="80" t="s">
        <v>639</v>
      </c>
      <c r="E144" s="117" t="s">
        <v>641</v>
      </c>
    </row>
    <row r="145" ht="15.75" customHeight="1">
      <c r="B145" s="80" t="s">
        <v>543</v>
      </c>
      <c r="C145" s="104">
        <f>$C$54</f>
        <v>0.14</v>
      </c>
      <c r="D145" s="80" t="s">
        <v>544</v>
      </c>
      <c r="E145" s="117" t="s">
        <v>642</v>
      </c>
    </row>
    <row r="146" ht="15.75" customHeight="1">
      <c r="B146" s="80" t="s">
        <v>608</v>
      </c>
      <c r="C146" s="80" t="str">
        <f t="shared" ref="C146:C147" si="31">K110</f>
        <v>VPN &gt; 0 y TIR &gt; tasa de descuento</v>
      </c>
      <c r="D146" s="80" t="s">
        <v>643</v>
      </c>
      <c r="E146" s="117" t="s">
        <v>644</v>
      </c>
    </row>
    <row r="147" ht="15.75" customHeight="1">
      <c r="B147" s="80" t="s">
        <v>611</v>
      </c>
      <c r="C147" s="80" t="str">
        <f t="shared" si="31"/>
        <v>VIABLE</v>
      </c>
      <c r="D147" s="80" t="s">
        <v>643</v>
      </c>
      <c r="E147" s="117" t="s">
        <v>645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B68:C69"/>
    <mergeCell ref="B1:H3"/>
    <mergeCell ref="B7:C8"/>
    <mergeCell ref="J7:K8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H41:J41"/>
    <mergeCell ref="E42:G42"/>
    <mergeCell ref="E43:G43"/>
    <mergeCell ref="E46:G46"/>
    <mergeCell ref="E47:G47"/>
    <mergeCell ref="E48:G48"/>
    <mergeCell ref="E49:G49"/>
    <mergeCell ref="E50:G50"/>
    <mergeCell ref="B89:D90"/>
    <mergeCell ref="B103:D104"/>
    <mergeCell ref="B124:D125"/>
    <mergeCell ref="B134:D135"/>
  </mergeCells>
  <hyperlinks>
    <hyperlink r:id="rId1" ref="E41"/>
    <hyperlink r:id="rId2" ref="E42"/>
    <hyperlink r:id="rId3" ref="E43"/>
  </hyperlinks>
  <printOptions/>
  <pageMargins bottom="0.75" footer="0.0" header="0.0" left="0.7" right="0.7" top="0.75"/>
  <pageSetup orientation="landscape"/>
  <drawing r:id="rId4"/>
</worksheet>
</file>