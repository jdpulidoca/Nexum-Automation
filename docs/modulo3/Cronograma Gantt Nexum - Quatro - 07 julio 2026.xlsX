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Nexum Quatro" sheetId="1" r:id="rId4"/>
  </sheets>
  <definedNames/>
  <calcPr/>
  <extLst>
    <ext uri="GoogleSheetsCustomDataVersion2">
      <go:sheetsCustomData xmlns:go="http://customooxmlschemas.google.com/" r:id="rId5" roundtripDataChecksum="1tJEMSUhaD9Oa/sYYRYzqOmZ1NsJdcUw2OZPlVCoVXI="/>
    </ext>
  </extLst>
</workbook>
</file>

<file path=xl/sharedStrings.xml><?xml version="1.0" encoding="utf-8"?>
<sst xmlns="http://schemas.openxmlformats.org/spreadsheetml/2006/main" count="131" uniqueCount="70">
  <si>
    <t>PLANEACIÓN DEL PROYECTO NEXUM AUTOMATION - LÍNEA QUATRO 1,5 L</t>
  </si>
  <si>
    <t>Gantt semanal actualizado con corte al 7 de julio de 2026</t>
  </si>
  <si>
    <t>Fase</t>
  </si>
  <si>
    <t>Actividad</t>
  </si>
  <si>
    <t>Responsable</t>
  </si>
  <si>
    <t>Inicio</t>
  </si>
  <si>
    <t>Fin</t>
  </si>
  <si>
    <t>Duración (días)</t>
  </si>
  <si>
    <t>Avance</t>
  </si>
  <si>
    <t>Estado</t>
  </si>
  <si>
    <t>1. Planeación</t>
  </si>
  <si>
    <t>Definición del alcance y objetivos de la línea Quatro</t>
  </si>
  <si>
    <t>Líder</t>
  </si>
  <si>
    <t>Investigación del proceso industrial de bebidas</t>
  </si>
  <si>
    <t>Ing. Automatización</t>
  </si>
  <si>
    <t>Caracterización de la línea Quatro 1,5 L</t>
  </si>
  <si>
    <t>Ing. Industrial</t>
  </si>
  <si>
    <t>DOP, DAP, VSM y análisis de tiempos</t>
  </si>
  <si>
    <t>Definición de KPIs: OEE, takt, capacidad y bloqueos</t>
  </si>
  <si>
    <t>2. Diagnóstico</t>
  </si>
  <si>
    <t>Levantamiento de sensores, actuadores y señales</t>
  </si>
  <si>
    <t>Identificación del cuello de botella de final de línea</t>
  </si>
  <si>
    <t>Evaluación del agrupado termoencogible manual</t>
  </si>
  <si>
    <t>Ing. Mecatrónica</t>
  </si>
  <si>
    <t>Evaluación del paletizado manual y riesgos ergonómicos</t>
  </si>
  <si>
    <t>3. Simulación</t>
  </si>
  <si>
    <t>Construcción del modelo actual en Plant Simulation</t>
  </si>
  <si>
    <t>Ing. Simulación</t>
  </si>
  <si>
    <t>Configuración de workers, broker y workplaces</t>
  </si>
  <si>
    <t>Validación de capacidad para packs de 12 botellas</t>
  </si>
  <si>
    <t>Cálculo del OEE del escenario actual</t>
  </si>
  <si>
    <t>4. Solución</t>
  </si>
  <si>
    <t>Diseño conceptual del sistema de agrupado mejorado</t>
  </si>
  <si>
    <t>Selección del túnel de termoencogido y transportadores</t>
  </si>
  <si>
    <t>Diseño de empujadores, guías y flujo de packs</t>
  </si>
  <si>
    <t>Ing. CAD</t>
  </si>
  <si>
    <t>Diseño de la celda robotizada de paletizado</t>
  </si>
  <si>
    <t>Ing. Robótica</t>
  </si>
  <si>
    <t>Selección del robot ABB, gripper y conveyor de pallets</t>
  </si>
  <si>
    <t>Diseño de cerramiento, accesos y seguridad industrial</t>
  </si>
  <si>
    <t>5. Sensórica</t>
  </si>
  <si>
    <t>Definición de sensórica para presencia, conteo y atascos</t>
  </si>
  <si>
    <t>Lista de entradas/salidas y arquitectura PLC</t>
  </si>
  <si>
    <t>Diseño de monitoreo de paradas, rechazo y OEE</t>
  </si>
  <si>
    <t>Ing. SCADA</t>
  </si>
  <si>
    <t>Integración conceptual PLC, SCADA y OPC UA</t>
  </si>
  <si>
    <t>6. Validación</t>
  </si>
  <si>
    <t>Modelado del escenario automatizado</t>
  </si>
  <si>
    <t>Simulación del agrupado y paletizado automático</t>
  </si>
  <si>
    <t>Comparación antes/después: capacidad, OEE y bloqueos</t>
  </si>
  <si>
    <t>7. Economía</t>
  </si>
  <si>
    <t>Cotización de equipos, sensórica y materiales</t>
  </si>
  <si>
    <t>Equipo Nexum</t>
  </si>
  <si>
    <t>Presupuesto técnico-comercial de la línea Quatro</t>
  </si>
  <si>
    <t>Cálculo de beneficios y costos operativos</t>
  </si>
  <si>
    <t>Flujo de caja del cliente y EBITDA incremental</t>
  </si>
  <si>
    <t>VPN, TIR, payback y relación beneficio/costo</t>
  </si>
  <si>
    <t>Rentabilidad contractual para Nexum Automation</t>
  </si>
  <si>
    <t>8. Negocio</t>
  </si>
  <si>
    <t>Modelo Canvas orientado a sensórica y final de línea</t>
  </si>
  <si>
    <t>Propuesta de valor particular para Quatro</t>
  </si>
  <si>
    <t>Propuesta de valor general de Nexum</t>
  </si>
  <si>
    <t>Estructuración de la oferta comercial</t>
  </si>
  <si>
    <t>9. Entrega</t>
  </si>
  <si>
    <t>Actualización del sitio web y repositorio</t>
  </si>
  <si>
    <t>Ing. Comunicación</t>
  </si>
  <si>
    <t>Integración del informe técnico-económico</t>
  </si>
  <si>
    <t>Revisión de coherencia técnica y financiera</t>
  </si>
  <si>
    <t>Preparación de presentación y sustentación</t>
  </si>
  <si>
    <t>AVANCE GLOBAL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</si>
</sst>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d-mmm-yy"/>
  </numFmts>
  <fonts count="8">
    <font>
      <sz val="11.0"/>
      <color rgb="FF000000"/>
      <name val="Carlito"/>
      <scheme val="minor"/>
    </font>
    <font>
      <b/>
      <sz val="15.0"/>
      <color rgb="FFFFFFFF"/>
      <name val="Carlito"/>
    </font>
    <font>
      <i/>
      <sz val="11.0"/>
      <color rgb="FF3D2D4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6A3D85"/>
      <name val="Carlito"/>
    </font>
    <font/>
  </fonts>
  <fills count="14">
    <fill>
      <patternFill patternType="none"/>
    </fill>
    <fill>
      <patternFill patternType="lightGray"/>
    </fill>
    <fill>
      <patternFill patternType="solid">
        <fgColor rgb="FF5B3F73"/>
        <bgColor rgb="FF5B3F73"/>
      </patternFill>
    </fill>
    <fill>
      <patternFill patternType="solid">
        <fgColor rgb="FFE4D8EC"/>
        <bgColor rgb="FFE4D8EC"/>
      </patternFill>
    </fill>
    <fill>
      <patternFill patternType="solid">
        <fgColor rgb="FF72518A"/>
        <bgColor rgb="FF72518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2F0D9"/>
        <bgColor rgb="FFE2F0D9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C8B8D4"/>
      </left>
      <right style="thin">
        <color rgb="FFC8B8D4"/>
      </right>
      <top style="thin">
        <color rgb="FFC8B8D4"/>
      </top>
      <bottom style="thin">
        <color rgb="FFC8B8D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5B3F73"/>
      </left>
      <top style="thin">
        <color rgb="FF5B3F73"/>
      </top>
      <bottom style="thin">
        <color rgb="FF5B3F73"/>
      </bottom>
    </border>
    <border>
      <top style="thin">
        <color rgb="FF5B3F73"/>
      </top>
      <bottom style="thin">
        <color rgb="FF5B3F73"/>
      </bottom>
    </border>
    <border>
      <right style="thin">
        <color rgb="FF5B3F73"/>
      </right>
      <top style="thin">
        <color rgb="FF5B3F73"/>
      </top>
      <bottom style="thin">
        <color rgb="FF5B3F73"/>
      </bottom>
    </border>
    <border>
      <left style="thin">
        <color rgb="FF5B3F73"/>
      </left>
      <right style="thin">
        <color rgb="FF5B3F73"/>
      </right>
      <top style="thin">
        <color rgb="FF5B3F73"/>
      </top>
      <bottom style="thin">
        <color rgb="FF5B3F73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1" fillId="4" fontId="3" numFmtId="0" xfId="0" applyAlignment="1" applyBorder="1" applyFill="1" applyFon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2" fillId="5" fontId="4" numFmtId="0" xfId="0" applyAlignment="1" applyBorder="1" applyFill="1" applyFont="1">
      <alignment vertical="center"/>
    </xf>
    <xf borderId="2" fillId="0" fontId="5" numFmtId="0" xfId="0" applyAlignment="1" applyBorder="1" applyFont="1">
      <alignment shrinkToFit="0" vertical="center" wrapText="1"/>
    </xf>
    <xf borderId="2" fillId="0" fontId="5" numFmtId="165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2" fillId="0" fontId="5" numFmtId="9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/>
    </xf>
    <xf borderId="2" fillId="6" fontId="4" numFmtId="0" xfId="0" applyAlignment="1" applyBorder="1" applyFill="1" applyFont="1">
      <alignment vertical="center"/>
    </xf>
    <xf borderId="2" fillId="7" fontId="4" numFmtId="0" xfId="0" applyAlignment="1" applyBorder="1" applyFill="1" applyFont="1">
      <alignment vertical="center"/>
    </xf>
    <xf borderId="2" fillId="8" fontId="4" numFmtId="0" xfId="0" applyAlignment="1" applyBorder="1" applyFill="1" applyFont="1">
      <alignment vertical="center"/>
    </xf>
    <xf borderId="2" fillId="9" fontId="4" numFmtId="0" xfId="0" applyAlignment="1" applyBorder="1" applyFill="1" applyFont="1">
      <alignment vertical="center"/>
    </xf>
    <xf borderId="2" fillId="10" fontId="4" numFmtId="0" xfId="0" applyAlignment="1" applyBorder="1" applyFill="1" applyFont="1">
      <alignment vertical="center"/>
    </xf>
    <xf borderId="2" fillId="11" fontId="4" numFmtId="0" xfId="0" applyAlignment="1" applyBorder="1" applyFill="1" applyFont="1">
      <alignment vertical="center"/>
    </xf>
    <xf borderId="2" fillId="12" fontId="4" numFmtId="0" xfId="0" applyAlignment="1" applyBorder="1" applyFill="1" applyFont="1">
      <alignment vertical="center"/>
    </xf>
    <xf borderId="2" fillId="0" fontId="5" numFmtId="9" xfId="0" applyAlignment="1" applyBorder="1" applyFont="1" applyNumberFormat="1">
      <alignment readingOrder="0" vertical="center"/>
    </xf>
    <xf borderId="2" fillId="13" fontId="4" numFmtId="0" xfId="0" applyAlignment="1" applyBorder="1" applyFill="1" applyFont="1">
      <alignment vertical="center"/>
    </xf>
    <xf borderId="3" fillId="2" fontId="3" numFmtId="0" xfId="0" applyAlignment="1" applyBorder="1" applyFont="1">
      <alignment vertical="center"/>
    </xf>
    <xf borderId="4" fillId="0" fontId="7" numFmtId="0" xfId="0" applyBorder="1" applyFont="1"/>
    <xf borderId="5" fillId="0" fontId="7" numFmtId="0" xfId="0" applyBorder="1" applyFont="1"/>
    <xf borderId="6" fillId="2" fontId="3" numFmtId="9" xfId="0" applyAlignment="1" applyBorder="1" applyFont="1" applyNumberFormat="1">
      <alignment vertical="center"/>
    </xf>
    <xf borderId="6" fillId="2" fontId="3" numFmtId="0" xfId="0" applyAlignment="1" applyBorder="1" applyFont="1">
      <alignment vertical="center"/>
    </xf>
    <xf borderId="6" fillId="2" fontId="3" numFmtId="0" xfId="0" applyBorder="1" applyFont="1"/>
  </cellXfs>
  <cellStyles count="1">
    <cellStyle xfId="0" name="Normal" builtinId="0"/>
  </cellStyles>
  <dxfs count="3">
    <dxf>
      <font>
        <b/>
        <color rgb="FF6A3D85"/>
      </font>
      <fill>
        <patternFill patternType="solid">
          <fgColor rgb="FFD9C2E9"/>
          <bgColor rgb="FFD9C2E9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48.0"/>
    <col customWidth="1" min="3" max="3" width="22.0"/>
    <col customWidth="1" min="4" max="6" width="13.0"/>
    <col customWidth="1" min="7" max="7" width="10.0"/>
    <col customWidth="1" min="8" max="8" width="14.0"/>
    <col customWidth="1" min="9" max="30" width="9.0"/>
  </cols>
  <sheetData>
    <row r="1" ht="27.0" customHeight="1">
      <c r="A1" s="1" t="s">
        <v>0</v>
      </c>
    </row>
    <row r="2" ht="19.5" customHeight="1">
      <c r="A2" s="2" t="s">
        <v>1</v>
      </c>
    </row>
    <row r="4" ht="15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>
        <v>46062.0</v>
      </c>
      <c r="J4" s="4">
        <v>46069.0</v>
      </c>
      <c r="K4" s="4">
        <v>46076.0</v>
      </c>
      <c r="L4" s="4">
        <v>46083.0</v>
      </c>
      <c r="M4" s="4">
        <v>46090.0</v>
      </c>
      <c r="N4" s="4">
        <v>46097.0</v>
      </c>
      <c r="O4" s="4">
        <v>46104.0</v>
      </c>
      <c r="P4" s="4">
        <v>46111.0</v>
      </c>
      <c r="Q4" s="4">
        <v>46118.0</v>
      </c>
      <c r="R4" s="4">
        <v>46125.0</v>
      </c>
      <c r="S4" s="4">
        <v>46132.0</v>
      </c>
      <c r="T4" s="4">
        <v>46139.0</v>
      </c>
      <c r="U4" s="4">
        <v>46146.0</v>
      </c>
      <c r="V4" s="4">
        <v>46153.0</v>
      </c>
      <c r="W4" s="4">
        <v>46160.0</v>
      </c>
      <c r="X4" s="4">
        <v>46167.0</v>
      </c>
      <c r="Y4" s="4">
        <v>46174.0</v>
      </c>
      <c r="Z4" s="4">
        <v>46181.0</v>
      </c>
      <c r="AA4" s="4">
        <v>46188.0</v>
      </c>
      <c r="AB4" s="4">
        <v>46195.0</v>
      </c>
      <c r="AC4" s="4">
        <v>46202.0</v>
      </c>
      <c r="AD4" s="4">
        <v>46209.0</v>
      </c>
    </row>
    <row r="5" ht="15.0" customHeight="1">
      <c r="A5" s="5" t="s">
        <v>10</v>
      </c>
      <c r="B5" s="6" t="s">
        <v>11</v>
      </c>
      <c r="C5" s="6" t="s">
        <v>12</v>
      </c>
      <c r="D5" s="7">
        <v>46063.0</v>
      </c>
      <c r="E5" s="7">
        <v>46073.0</v>
      </c>
      <c r="F5" s="8">
        <f t="shared" ref="F5:F44" si="2">E5-D5+1</f>
        <v>11</v>
      </c>
      <c r="G5" s="9">
        <v>1.0</v>
      </c>
      <c r="H5" s="8" t="str">
        <f t="shared" ref="H5:H44" si="3">IF(G5=100%,"Completada",IF(G5&gt;0,"En curso","Pendiente"))</f>
        <v>Completada</v>
      </c>
      <c r="I5" s="10" t="str">
        <f t="shared" ref="I5:AD5" si="1">IF(AND(I$4&lt;=$E5,I$4+6&gt;=$D5),"■","")</f>
        <v>■</v>
      </c>
      <c r="J5" s="10" t="str">
        <f t="shared" si="1"/>
        <v>■</v>
      </c>
      <c r="K5" s="10" t="str">
        <f t="shared" si="1"/>
        <v/>
      </c>
      <c r="L5" s="10" t="str">
        <f t="shared" si="1"/>
        <v/>
      </c>
      <c r="M5" s="10" t="str">
        <f t="shared" si="1"/>
        <v/>
      </c>
      <c r="N5" s="10" t="str">
        <f t="shared" si="1"/>
        <v/>
      </c>
      <c r="O5" s="10" t="str">
        <f t="shared" si="1"/>
        <v/>
      </c>
      <c r="P5" s="10" t="str">
        <f t="shared" si="1"/>
        <v/>
      </c>
      <c r="Q5" s="10" t="str">
        <f t="shared" si="1"/>
        <v/>
      </c>
      <c r="R5" s="10" t="str">
        <f t="shared" si="1"/>
        <v/>
      </c>
      <c r="S5" s="10" t="str">
        <f t="shared" si="1"/>
        <v/>
      </c>
      <c r="T5" s="10" t="str">
        <f t="shared" si="1"/>
        <v/>
      </c>
      <c r="U5" s="10" t="str">
        <f t="shared" si="1"/>
        <v/>
      </c>
      <c r="V5" s="10" t="str">
        <f t="shared" si="1"/>
        <v/>
      </c>
      <c r="W5" s="10" t="str">
        <f t="shared" si="1"/>
        <v/>
      </c>
      <c r="X5" s="10" t="str">
        <f t="shared" si="1"/>
        <v/>
      </c>
      <c r="Y5" s="10" t="str">
        <f t="shared" si="1"/>
        <v/>
      </c>
      <c r="Z5" s="10" t="str">
        <f t="shared" si="1"/>
        <v/>
      </c>
      <c r="AA5" s="10" t="str">
        <f t="shared" si="1"/>
        <v/>
      </c>
      <c r="AB5" s="10" t="str">
        <f t="shared" si="1"/>
        <v/>
      </c>
      <c r="AC5" s="10" t="str">
        <f t="shared" si="1"/>
        <v/>
      </c>
      <c r="AD5" s="10" t="str">
        <f t="shared" si="1"/>
        <v/>
      </c>
    </row>
    <row r="6" ht="15.0" customHeight="1">
      <c r="A6" s="5" t="s">
        <v>10</v>
      </c>
      <c r="B6" s="6" t="s">
        <v>13</v>
      </c>
      <c r="C6" s="6" t="s">
        <v>14</v>
      </c>
      <c r="D6" s="7">
        <v>46069.0</v>
      </c>
      <c r="E6" s="7">
        <v>46080.0</v>
      </c>
      <c r="F6" s="8">
        <f t="shared" si="2"/>
        <v>12</v>
      </c>
      <c r="G6" s="9">
        <v>1.0</v>
      </c>
      <c r="H6" s="8" t="str">
        <f t="shared" si="3"/>
        <v>Completada</v>
      </c>
      <c r="I6" s="10" t="str">
        <f t="shared" ref="I6:AD6" si="4">IF(AND(I$4&lt;=$E6,I$4+6&gt;=$D6),"■","")</f>
        <v/>
      </c>
      <c r="J6" s="10" t="str">
        <f t="shared" si="4"/>
        <v>■</v>
      </c>
      <c r="K6" s="10" t="str">
        <f t="shared" si="4"/>
        <v>■</v>
      </c>
      <c r="L6" s="10" t="str">
        <f t="shared" si="4"/>
        <v/>
      </c>
      <c r="M6" s="10" t="str">
        <f t="shared" si="4"/>
        <v/>
      </c>
      <c r="N6" s="10" t="str">
        <f t="shared" si="4"/>
        <v/>
      </c>
      <c r="O6" s="10" t="str">
        <f t="shared" si="4"/>
        <v/>
      </c>
      <c r="P6" s="10" t="str">
        <f t="shared" si="4"/>
        <v/>
      </c>
      <c r="Q6" s="10" t="str">
        <f t="shared" si="4"/>
        <v/>
      </c>
      <c r="R6" s="10" t="str">
        <f t="shared" si="4"/>
        <v/>
      </c>
      <c r="S6" s="10" t="str">
        <f t="shared" si="4"/>
        <v/>
      </c>
      <c r="T6" s="10" t="str">
        <f t="shared" si="4"/>
        <v/>
      </c>
      <c r="U6" s="10" t="str">
        <f t="shared" si="4"/>
        <v/>
      </c>
      <c r="V6" s="10" t="str">
        <f t="shared" si="4"/>
        <v/>
      </c>
      <c r="W6" s="10" t="str">
        <f t="shared" si="4"/>
        <v/>
      </c>
      <c r="X6" s="10" t="str">
        <f t="shared" si="4"/>
        <v/>
      </c>
      <c r="Y6" s="10" t="str">
        <f t="shared" si="4"/>
        <v/>
      </c>
      <c r="Z6" s="10" t="str">
        <f t="shared" si="4"/>
        <v/>
      </c>
      <c r="AA6" s="10" t="str">
        <f t="shared" si="4"/>
        <v/>
      </c>
      <c r="AB6" s="10" t="str">
        <f t="shared" si="4"/>
        <v/>
      </c>
      <c r="AC6" s="10" t="str">
        <f t="shared" si="4"/>
        <v/>
      </c>
      <c r="AD6" s="10" t="str">
        <f t="shared" si="4"/>
        <v/>
      </c>
    </row>
    <row r="7" ht="15.0" customHeight="1">
      <c r="A7" s="5" t="s">
        <v>10</v>
      </c>
      <c r="B7" s="6" t="s">
        <v>15</v>
      </c>
      <c r="C7" s="6" t="s">
        <v>16</v>
      </c>
      <c r="D7" s="7">
        <v>46076.0</v>
      </c>
      <c r="E7" s="7">
        <v>46087.0</v>
      </c>
      <c r="F7" s="8">
        <f t="shared" si="2"/>
        <v>12</v>
      </c>
      <c r="G7" s="9">
        <v>1.0</v>
      </c>
      <c r="H7" s="8" t="str">
        <f t="shared" si="3"/>
        <v>Completada</v>
      </c>
      <c r="I7" s="10" t="str">
        <f t="shared" ref="I7:AD7" si="5">IF(AND(I$4&lt;=$E7,I$4+6&gt;=$D7),"■","")</f>
        <v/>
      </c>
      <c r="J7" s="10" t="str">
        <f t="shared" si="5"/>
        <v/>
      </c>
      <c r="K7" s="10" t="str">
        <f t="shared" si="5"/>
        <v>■</v>
      </c>
      <c r="L7" s="10" t="str">
        <f t="shared" si="5"/>
        <v>■</v>
      </c>
      <c r="M7" s="10" t="str">
        <f t="shared" si="5"/>
        <v/>
      </c>
      <c r="N7" s="10" t="str">
        <f t="shared" si="5"/>
        <v/>
      </c>
      <c r="O7" s="10" t="str">
        <f t="shared" si="5"/>
        <v/>
      </c>
      <c r="P7" s="10" t="str">
        <f t="shared" si="5"/>
        <v/>
      </c>
      <c r="Q7" s="10" t="str">
        <f t="shared" si="5"/>
        <v/>
      </c>
      <c r="R7" s="10" t="str">
        <f t="shared" si="5"/>
        <v/>
      </c>
      <c r="S7" s="10" t="str">
        <f t="shared" si="5"/>
        <v/>
      </c>
      <c r="T7" s="10" t="str">
        <f t="shared" si="5"/>
        <v/>
      </c>
      <c r="U7" s="10" t="str">
        <f t="shared" si="5"/>
        <v/>
      </c>
      <c r="V7" s="10" t="str">
        <f t="shared" si="5"/>
        <v/>
      </c>
      <c r="W7" s="10" t="str">
        <f t="shared" si="5"/>
        <v/>
      </c>
      <c r="X7" s="10" t="str">
        <f t="shared" si="5"/>
        <v/>
      </c>
      <c r="Y7" s="10" t="str">
        <f t="shared" si="5"/>
        <v/>
      </c>
      <c r="Z7" s="10" t="str">
        <f t="shared" si="5"/>
        <v/>
      </c>
      <c r="AA7" s="10" t="str">
        <f t="shared" si="5"/>
        <v/>
      </c>
      <c r="AB7" s="10" t="str">
        <f t="shared" si="5"/>
        <v/>
      </c>
      <c r="AC7" s="10" t="str">
        <f t="shared" si="5"/>
        <v/>
      </c>
      <c r="AD7" s="10" t="str">
        <f t="shared" si="5"/>
        <v/>
      </c>
    </row>
    <row r="8" ht="15.0" customHeight="1">
      <c r="A8" s="5" t="s">
        <v>10</v>
      </c>
      <c r="B8" s="6" t="s">
        <v>17</v>
      </c>
      <c r="C8" s="6" t="s">
        <v>16</v>
      </c>
      <c r="D8" s="7">
        <v>46083.0</v>
      </c>
      <c r="E8" s="7">
        <v>46094.0</v>
      </c>
      <c r="F8" s="8">
        <f t="shared" si="2"/>
        <v>12</v>
      </c>
      <c r="G8" s="9">
        <v>1.0</v>
      </c>
      <c r="H8" s="8" t="str">
        <f t="shared" si="3"/>
        <v>Completada</v>
      </c>
      <c r="I8" s="10" t="str">
        <f t="shared" ref="I8:AD8" si="6">IF(AND(I$4&lt;=$E8,I$4+6&gt;=$D8),"■","")</f>
        <v/>
      </c>
      <c r="J8" s="10" t="str">
        <f t="shared" si="6"/>
        <v/>
      </c>
      <c r="K8" s="10" t="str">
        <f t="shared" si="6"/>
        <v/>
      </c>
      <c r="L8" s="10" t="str">
        <f t="shared" si="6"/>
        <v>■</v>
      </c>
      <c r="M8" s="10" t="str">
        <f t="shared" si="6"/>
        <v>■</v>
      </c>
      <c r="N8" s="10" t="str">
        <f t="shared" si="6"/>
        <v/>
      </c>
      <c r="O8" s="10" t="str">
        <f t="shared" si="6"/>
        <v/>
      </c>
      <c r="P8" s="10" t="str">
        <f t="shared" si="6"/>
        <v/>
      </c>
      <c r="Q8" s="10" t="str">
        <f t="shared" si="6"/>
        <v/>
      </c>
      <c r="R8" s="10" t="str">
        <f t="shared" si="6"/>
        <v/>
      </c>
      <c r="S8" s="10" t="str">
        <f t="shared" si="6"/>
        <v/>
      </c>
      <c r="T8" s="10" t="str">
        <f t="shared" si="6"/>
        <v/>
      </c>
      <c r="U8" s="10" t="str">
        <f t="shared" si="6"/>
        <v/>
      </c>
      <c r="V8" s="10" t="str">
        <f t="shared" si="6"/>
        <v/>
      </c>
      <c r="W8" s="10" t="str">
        <f t="shared" si="6"/>
        <v/>
      </c>
      <c r="X8" s="10" t="str">
        <f t="shared" si="6"/>
        <v/>
      </c>
      <c r="Y8" s="10" t="str">
        <f t="shared" si="6"/>
        <v/>
      </c>
      <c r="Z8" s="10" t="str">
        <f t="shared" si="6"/>
        <v/>
      </c>
      <c r="AA8" s="10" t="str">
        <f t="shared" si="6"/>
        <v/>
      </c>
      <c r="AB8" s="10" t="str">
        <f t="shared" si="6"/>
        <v/>
      </c>
      <c r="AC8" s="10" t="str">
        <f t="shared" si="6"/>
        <v/>
      </c>
      <c r="AD8" s="10" t="str">
        <f t="shared" si="6"/>
        <v/>
      </c>
    </row>
    <row r="9" ht="15.0" customHeight="1">
      <c r="A9" s="5" t="s">
        <v>10</v>
      </c>
      <c r="B9" s="6" t="s">
        <v>18</v>
      </c>
      <c r="C9" s="6" t="s">
        <v>16</v>
      </c>
      <c r="D9" s="7">
        <v>46090.0</v>
      </c>
      <c r="E9" s="7">
        <v>46101.0</v>
      </c>
      <c r="F9" s="8">
        <f t="shared" si="2"/>
        <v>12</v>
      </c>
      <c r="G9" s="9">
        <v>1.0</v>
      </c>
      <c r="H9" s="8" t="str">
        <f t="shared" si="3"/>
        <v>Completada</v>
      </c>
      <c r="I9" s="10" t="str">
        <f t="shared" ref="I9:AD9" si="7">IF(AND(I$4&lt;=$E9,I$4+6&gt;=$D9),"■","")</f>
        <v/>
      </c>
      <c r="J9" s="10" t="str">
        <f t="shared" si="7"/>
        <v/>
      </c>
      <c r="K9" s="10" t="str">
        <f t="shared" si="7"/>
        <v/>
      </c>
      <c r="L9" s="10" t="str">
        <f t="shared" si="7"/>
        <v/>
      </c>
      <c r="M9" s="10" t="str">
        <f t="shared" si="7"/>
        <v>■</v>
      </c>
      <c r="N9" s="10" t="str">
        <f t="shared" si="7"/>
        <v>■</v>
      </c>
      <c r="O9" s="10" t="str">
        <f t="shared" si="7"/>
        <v/>
      </c>
      <c r="P9" s="10" t="str">
        <f t="shared" si="7"/>
        <v/>
      </c>
      <c r="Q9" s="10" t="str">
        <f t="shared" si="7"/>
        <v/>
      </c>
      <c r="R9" s="10" t="str">
        <f t="shared" si="7"/>
        <v/>
      </c>
      <c r="S9" s="10" t="str">
        <f t="shared" si="7"/>
        <v/>
      </c>
      <c r="T9" s="10" t="str">
        <f t="shared" si="7"/>
        <v/>
      </c>
      <c r="U9" s="10" t="str">
        <f t="shared" si="7"/>
        <v/>
      </c>
      <c r="V9" s="10" t="str">
        <f t="shared" si="7"/>
        <v/>
      </c>
      <c r="W9" s="10" t="str">
        <f t="shared" si="7"/>
        <v/>
      </c>
      <c r="X9" s="10" t="str">
        <f t="shared" si="7"/>
        <v/>
      </c>
      <c r="Y9" s="10" t="str">
        <f t="shared" si="7"/>
        <v/>
      </c>
      <c r="Z9" s="10" t="str">
        <f t="shared" si="7"/>
        <v/>
      </c>
      <c r="AA9" s="10" t="str">
        <f t="shared" si="7"/>
        <v/>
      </c>
      <c r="AB9" s="10" t="str">
        <f t="shared" si="7"/>
        <v/>
      </c>
      <c r="AC9" s="10" t="str">
        <f t="shared" si="7"/>
        <v/>
      </c>
      <c r="AD9" s="10" t="str">
        <f t="shared" si="7"/>
        <v/>
      </c>
    </row>
    <row r="10" ht="15.0" customHeight="1">
      <c r="A10" s="11" t="s">
        <v>19</v>
      </c>
      <c r="B10" s="6" t="s">
        <v>20</v>
      </c>
      <c r="C10" s="6" t="s">
        <v>14</v>
      </c>
      <c r="D10" s="7">
        <v>46097.0</v>
      </c>
      <c r="E10" s="7">
        <v>46108.0</v>
      </c>
      <c r="F10" s="8">
        <f t="shared" si="2"/>
        <v>12</v>
      </c>
      <c r="G10" s="9">
        <v>1.0</v>
      </c>
      <c r="H10" s="8" t="str">
        <f t="shared" si="3"/>
        <v>Completada</v>
      </c>
      <c r="I10" s="10" t="str">
        <f t="shared" ref="I10:AD10" si="8">IF(AND(I$4&lt;=$E10,I$4+6&gt;=$D10),"■","")</f>
        <v/>
      </c>
      <c r="J10" s="10" t="str">
        <f t="shared" si="8"/>
        <v/>
      </c>
      <c r="K10" s="10" t="str">
        <f t="shared" si="8"/>
        <v/>
      </c>
      <c r="L10" s="10" t="str">
        <f t="shared" si="8"/>
        <v/>
      </c>
      <c r="M10" s="10" t="str">
        <f t="shared" si="8"/>
        <v/>
      </c>
      <c r="N10" s="10" t="str">
        <f t="shared" si="8"/>
        <v>■</v>
      </c>
      <c r="O10" s="10" t="str">
        <f t="shared" si="8"/>
        <v>■</v>
      </c>
      <c r="P10" s="10" t="str">
        <f t="shared" si="8"/>
        <v/>
      </c>
      <c r="Q10" s="10" t="str">
        <f t="shared" si="8"/>
        <v/>
      </c>
      <c r="R10" s="10" t="str">
        <f t="shared" si="8"/>
        <v/>
      </c>
      <c r="S10" s="10" t="str">
        <f t="shared" si="8"/>
        <v/>
      </c>
      <c r="T10" s="10" t="str">
        <f t="shared" si="8"/>
        <v/>
      </c>
      <c r="U10" s="10" t="str">
        <f t="shared" si="8"/>
        <v/>
      </c>
      <c r="V10" s="10" t="str">
        <f t="shared" si="8"/>
        <v/>
      </c>
      <c r="W10" s="10" t="str">
        <f t="shared" si="8"/>
        <v/>
      </c>
      <c r="X10" s="10" t="str">
        <f t="shared" si="8"/>
        <v/>
      </c>
      <c r="Y10" s="10" t="str">
        <f t="shared" si="8"/>
        <v/>
      </c>
      <c r="Z10" s="10" t="str">
        <f t="shared" si="8"/>
        <v/>
      </c>
      <c r="AA10" s="10" t="str">
        <f t="shared" si="8"/>
        <v/>
      </c>
      <c r="AB10" s="10" t="str">
        <f t="shared" si="8"/>
        <v/>
      </c>
      <c r="AC10" s="10" t="str">
        <f t="shared" si="8"/>
        <v/>
      </c>
      <c r="AD10" s="10" t="str">
        <f t="shared" si="8"/>
        <v/>
      </c>
    </row>
    <row r="11" ht="15.0" customHeight="1">
      <c r="A11" s="11" t="s">
        <v>19</v>
      </c>
      <c r="B11" s="6" t="s">
        <v>21</v>
      </c>
      <c r="C11" s="6" t="s">
        <v>12</v>
      </c>
      <c r="D11" s="7">
        <v>46104.0</v>
      </c>
      <c r="E11" s="7">
        <v>46115.0</v>
      </c>
      <c r="F11" s="8">
        <f t="shared" si="2"/>
        <v>12</v>
      </c>
      <c r="G11" s="9">
        <v>1.0</v>
      </c>
      <c r="H11" s="8" t="str">
        <f t="shared" si="3"/>
        <v>Completada</v>
      </c>
      <c r="I11" s="10" t="str">
        <f t="shared" ref="I11:AD11" si="9">IF(AND(I$4&lt;=$E11,I$4+6&gt;=$D11),"■","")</f>
        <v/>
      </c>
      <c r="J11" s="10" t="str">
        <f t="shared" si="9"/>
        <v/>
      </c>
      <c r="K11" s="10" t="str">
        <f t="shared" si="9"/>
        <v/>
      </c>
      <c r="L11" s="10" t="str">
        <f t="shared" si="9"/>
        <v/>
      </c>
      <c r="M11" s="10" t="str">
        <f t="shared" si="9"/>
        <v/>
      </c>
      <c r="N11" s="10" t="str">
        <f t="shared" si="9"/>
        <v/>
      </c>
      <c r="O11" s="10" t="str">
        <f t="shared" si="9"/>
        <v>■</v>
      </c>
      <c r="P11" s="10" t="str">
        <f t="shared" si="9"/>
        <v>■</v>
      </c>
      <c r="Q11" s="10" t="str">
        <f t="shared" si="9"/>
        <v/>
      </c>
      <c r="R11" s="10" t="str">
        <f t="shared" si="9"/>
        <v/>
      </c>
      <c r="S11" s="10" t="str">
        <f t="shared" si="9"/>
        <v/>
      </c>
      <c r="T11" s="10" t="str">
        <f t="shared" si="9"/>
        <v/>
      </c>
      <c r="U11" s="10" t="str">
        <f t="shared" si="9"/>
        <v/>
      </c>
      <c r="V11" s="10" t="str">
        <f t="shared" si="9"/>
        <v/>
      </c>
      <c r="W11" s="10" t="str">
        <f t="shared" si="9"/>
        <v/>
      </c>
      <c r="X11" s="10" t="str">
        <f t="shared" si="9"/>
        <v/>
      </c>
      <c r="Y11" s="10" t="str">
        <f t="shared" si="9"/>
        <v/>
      </c>
      <c r="Z11" s="10" t="str">
        <f t="shared" si="9"/>
        <v/>
      </c>
      <c r="AA11" s="10" t="str">
        <f t="shared" si="9"/>
        <v/>
      </c>
      <c r="AB11" s="10" t="str">
        <f t="shared" si="9"/>
        <v/>
      </c>
      <c r="AC11" s="10" t="str">
        <f t="shared" si="9"/>
        <v/>
      </c>
      <c r="AD11" s="10" t="str">
        <f t="shared" si="9"/>
        <v/>
      </c>
    </row>
    <row r="12" ht="15.0" customHeight="1">
      <c r="A12" s="11" t="s">
        <v>19</v>
      </c>
      <c r="B12" s="6" t="s">
        <v>22</v>
      </c>
      <c r="C12" s="6" t="s">
        <v>23</v>
      </c>
      <c r="D12" s="7">
        <v>46111.0</v>
      </c>
      <c r="E12" s="7">
        <v>46122.0</v>
      </c>
      <c r="F12" s="8">
        <f t="shared" si="2"/>
        <v>12</v>
      </c>
      <c r="G12" s="9">
        <v>1.0</v>
      </c>
      <c r="H12" s="8" t="str">
        <f t="shared" si="3"/>
        <v>Completada</v>
      </c>
      <c r="I12" s="10" t="str">
        <f t="shared" ref="I12:AD12" si="10">IF(AND(I$4&lt;=$E12,I$4+6&gt;=$D12),"■","")</f>
        <v/>
      </c>
      <c r="J12" s="10" t="str">
        <f t="shared" si="10"/>
        <v/>
      </c>
      <c r="K12" s="10" t="str">
        <f t="shared" si="10"/>
        <v/>
      </c>
      <c r="L12" s="10" t="str">
        <f t="shared" si="10"/>
        <v/>
      </c>
      <c r="M12" s="10" t="str">
        <f t="shared" si="10"/>
        <v/>
      </c>
      <c r="N12" s="10" t="str">
        <f t="shared" si="10"/>
        <v/>
      </c>
      <c r="O12" s="10" t="str">
        <f t="shared" si="10"/>
        <v/>
      </c>
      <c r="P12" s="10" t="str">
        <f t="shared" si="10"/>
        <v>■</v>
      </c>
      <c r="Q12" s="10" t="str">
        <f t="shared" si="10"/>
        <v>■</v>
      </c>
      <c r="R12" s="10" t="str">
        <f t="shared" si="10"/>
        <v/>
      </c>
      <c r="S12" s="10" t="str">
        <f t="shared" si="10"/>
        <v/>
      </c>
      <c r="T12" s="10" t="str">
        <f t="shared" si="10"/>
        <v/>
      </c>
      <c r="U12" s="10" t="str">
        <f t="shared" si="10"/>
        <v/>
      </c>
      <c r="V12" s="10" t="str">
        <f t="shared" si="10"/>
        <v/>
      </c>
      <c r="W12" s="10" t="str">
        <f t="shared" si="10"/>
        <v/>
      </c>
      <c r="X12" s="10" t="str">
        <f t="shared" si="10"/>
        <v/>
      </c>
      <c r="Y12" s="10" t="str">
        <f t="shared" si="10"/>
        <v/>
      </c>
      <c r="Z12" s="10" t="str">
        <f t="shared" si="10"/>
        <v/>
      </c>
      <c r="AA12" s="10" t="str">
        <f t="shared" si="10"/>
        <v/>
      </c>
      <c r="AB12" s="10" t="str">
        <f t="shared" si="10"/>
        <v/>
      </c>
      <c r="AC12" s="10" t="str">
        <f t="shared" si="10"/>
        <v/>
      </c>
      <c r="AD12" s="10" t="str">
        <f t="shared" si="10"/>
        <v/>
      </c>
    </row>
    <row r="13" ht="15.0" customHeight="1">
      <c r="A13" s="11" t="s">
        <v>19</v>
      </c>
      <c r="B13" s="6" t="s">
        <v>24</v>
      </c>
      <c r="C13" s="6" t="s">
        <v>16</v>
      </c>
      <c r="D13" s="7">
        <v>46111.0</v>
      </c>
      <c r="E13" s="7">
        <v>46122.0</v>
      </c>
      <c r="F13" s="8">
        <f t="shared" si="2"/>
        <v>12</v>
      </c>
      <c r="G13" s="9">
        <v>1.0</v>
      </c>
      <c r="H13" s="8" t="str">
        <f t="shared" si="3"/>
        <v>Completada</v>
      </c>
      <c r="I13" s="10" t="str">
        <f t="shared" ref="I13:AD13" si="11">IF(AND(I$4&lt;=$E13,I$4+6&gt;=$D13),"■","")</f>
        <v/>
      </c>
      <c r="J13" s="10" t="str">
        <f t="shared" si="11"/>
        <v/>
      </c>
      <c r="K13" s="10" t="str">
        <f t="shared" si="11"/>
        <v/>
      </c>
      <c r="L13" s="10" t="str">
        <f t="shared" si="11"/>
        <v/>
      </c>
      <c r="M13" s="10" t="str">
        <f t="shared" si="11"/>
        <v/>
      </c>
      <c r="N13" s="10" t="str">
        <f t="shared" si="11"/>
        <v/>
      </c>
      <c r="O13" s="10" t="str">
        <f t="shared" si="11"/>
        <v/>
      </c>
      <c r="P13" s="10" t="str">
        <f t="shared" si="11"/>
        <v>■</v>
      </c>
      <c r="Q13" s="10" t="str">
        <f t="shared" si="11"/>
        <v>■</v>
      </c>
      <c r="R13" s="10" t="str">
        <f t="shared" si="11"/>
        <v/>
      </c>
      <c r="S13" s="10" t="str">
        <f t="shared" si="11"/>
        <v/>
      </c>
      <c r="T13" s="10" t="str">
        <f t="shared" si="11"/>
        <v/>
      </c>
      <c r="U13" s="10" t="str">
        <f t="shared" si="11"/>
        <v/>
      </c>
      <c r="V13" s="10" t="str">
        <f t="shared" si="11"/>
        <v/>
      </c>
      <c r="W13" s="10" t="str">
        <f t="shared" si="11"/>
        <v/>
      </c>
      <c r="X13" s="10" t="str">
        <f t="shared" si="11"/>
        <v/>
      </c>
      <c r="Y13" s="10" t="str">
        <f t="shared" si="11"/>
        <v/>
      </c>
      <c r="Z13" s="10" t="str">
        <f t="shared" si="11"/>
        <v/>
      </c>
      <c r="AA13" s="10" t="str">
        <f t="shared" si="11"/>
        <v/>
      </c>
      <c r="AB13" s="10" t="str">
        <f t="shared" si="11"/>
        <v/>
      </c>
      <c r="AC13" s="10" t="str">
        <f t="shared" si="11"/>
        <v/>
      </c>
      <c r="AD13" s="10" t="str">
        <f t="shared" si="11"/>
        <v/>
      </c>
    </row>
    <row r="14" ht="15.0" customHeight="1">
      <c r="A14" s="12" t="s">
        <v>25</v>
      </c>
      <c r="B14" s="6" t="s">
        <v>26</v>
      </c>
      <c r="C14" s="6" t="s">
        <v>27</v>
      </c>
      <c r="D14" s="7">
        <v>46118.0</v>
      </c>
      <c r="E14" s="7">
        <v>46136.0</v>
      </c>
      <c r="F14" s="8">
        <f t="shared" si="2"/>
        <v>19</v>
      </c>
      <c r="G14" s="9">
        <v>1.0</v>
      </c>
      <c r="H14" s="8" t="str">
        <f t="shared" si="3"/>
        <v>Completada</v>
      </c>
      <c r="I14" s="10" t="str">
        <f t="shared" ref="I14:AD14" si="12">IF(AND(I$4&lt;=$E14,I$4+6&gt;=$D14),"■","")</f>
        <v/>
      </c>
      <c r="J14" s="10" t="str">
        <f t="shared" si="12"/>
        <v/>
      </c>
      <c r="K14" s="10" t="str">
        <f t="shared" si="12"/>
        <v/>
      </c>
      <c r="L14" s="10" t="str">
        <f t="shared" si="12"/>
        <v/>
      </c>
      <c r="M14" s="10" t="str">
        <f t="shared" si="12"/>
        <v/>
      </c>
      <c r="N14" s="10" t="str">
        <f t="shared" si="12"/>
        <v/>
      </c>
      <c r="O14" s="10" t="str">
        <f t="shared" si="12"/>
        <v/>
      </c>
      <c r="P14" s="10" t="str">
        <f t="shared" si="12"/>
        <v/>
      </c>
      <c r="Q14" s="10" t="str">
        <f t="shared" si="12"/>
        <v>■</v>
      </c>
      <c r="R14" s="10" t="str">
        <f t="shared" si="12"/>
        <v>■</v>
      </c>
      <c r="S14" s="10" t="str">
        <f t="shared" si="12"/>
        <v>■</v>
      </c>
      <c r="T14" s="10" t="str">
        <f t="shared" si="12"/>
        <v/>
      </c>
      <c r="U14" s="10" t="str">
        <f t="shared" si="12"/>
        <v/>
      </c>
      <c r="V14" s="10" t="str">
        <f t="shared" si="12"/>
        <v/>
      </c>
      <c r="W14" s="10" t="str">
        <f t="shared" si="12"/>
        <v/>
      </c>
      <c r="X14" s="10" t="str">
        <f t="shared" si="12"/>
        <v/>
      </c>
      <c r="Y14" s="10" t="str">
        <f t="shared" si="12"/>
        <v/>
      </c>
      <c r="Z14" s="10" t="str">
        <f t="shared" si="12"/>
        <v/>
      </c>
      <c r="AA14" s="10" t="str">
        <f t="shared" si="12"/>
        <v/>
      </c>
      <c r="AB14" s="10" t="str">
        <f t="shared" si="12"/>
        <v/>
      </c>
      <c r="AC14" s="10" t="str">
        <f t="shared" si="12"/>
        <v/>
      </c>
      <c r="AD14" s="10" t="str">
        <f t="shared" si="12"/>
        <v/>
      </c>
    </row>
    <row r="15" ht="15.0" customHeight="1">
      <c r="A15" s="12" t="s">
        <v>25</v>
      </c>
      <c r="B15" s="6" t="s">
        <v>28</v>
      </c>
      <c r="C15" s="6" t="s">
        <v>27</v>
      </c>
      <c r="D15" s="7">
        <v>46125.0</v>
      </c>
      <c r="E15" s="7">
        <v>46142.0</v>
      </c>
      <c r="F15" s="8">
        <f t="shared" si="2"/>
        <v>18</v>
      </c>
      <c r="G15" s="9">
        <v>1.0</v>
      </c>
      <c r="H15" s="8" t="str">
        <f t="shared" si="3"/>
        <v>Completada</v>
      </c>
      <c r="I15" s="10" t="str">
        <f t="shared" ref="I15:AD15" si="13">IF(AND(I$4&lt;=$E15,I$4+6&gt;=$D15),"■","")</f>
        <v/>
      </c>
      <c r="J15" s="10" t="str">
        <f t="shared" si="13"/>
        <v/>
      </c>
      <c r="K15" s="10" t="str">
        <f t="shared" si="13"/>
        <v/>
      </c>
      <c r="L15" s="10" t="str">
        <f t="shared" si="13"/>
        <v/>
      </c>
      <c r="M15" s="10" t="str">
        <f t="shared" si="13"/>
        <v/>
      </c>
      <c r="N15" s="10" t="str">
        <f t="shared" si="13"/>
        <v/>
      </c>
      <c r="O15" s="10" t="str">
        <f t="shared" si="13"/>
        <v/>
      </c>
      <c r="P15" s="10" t="str">
        <f t="shared" si="13"/>
        <v/>
      </c>
      <c r="Q15" s="10" t="str">
        <f t="shared" si="13"/>
        <v/>
      </c>
      <c r="R15" s="10" t="str">
        <f t="shared" si="13"/>
        <v>■</v>
      </c>
      <c r="S15" s="10" t="str">
        <f t="shared" si="13"/>
        <v>■</v>
      </c>
      <c r="T15" s="10" t="str">
        <f t="shared" si="13"/>
        <v>■</v>
      </c>
      <c r="U15" s="10" t="str">
        <f t="shared" si="13"/>
        <v/>
      </c>
      <c r="V15" s="10" t="str">
        <f t="shared" si="13"/>
        <v/>
      </c>
      <c r="W15" s="10" t="str">
        <f t="shared" si="13"/>
        <v/>
      </c>
      <c r="X15" s="10" t="str">
        <f t="shared" si="13"/>
        <v/>
      </c>
      <c r="Y15" s="10" t="str">
        <f t="shared" si="13"/>
        <v/>
      </c>
      <c r="Z15" s="10" t="str">
        <f t="shared" si="13"/>
        <v/>
      </c>
      <c r="AA15" s="10" t="str">
        <f t="shared" si="13"/>
        <v/>
      </c>
      <c r="AB15" s="10" t="str">
        <f t="shared" si="13"/>
        <v/>
      </c>
      <c r="AC15" s="10" t="str">
        <f t="shared" si="13"/>
        <v/>
      </c>
      <c r="AD15" s="10" t="str">
        <f t="shared" si="13"/>
        <v/>
      </c>
    </row>
    <row r="16" ht="15.0" customHeight="1">
      <c r="A16" s="12" t="s">
        <v>25</v>
      </c>
      <c r="B16" s="6" t="s">
        <v>29</v>
      </c>
      <c r="C16" s="6" t="s">
        <v>27</v>
      </c>
      <c r="D16" s="7">
        <v>46132.0</v>
      </c>
      <c r="E16" s="7">
        <v>46150.0</v>
      </c>
      <c r="F16" s="8">
        <f t="shared" si="2"/>
        <v>19</v>
      </c>
      <c r="G16" s="9">
        <v>1.0</v>
      </c>
      <c r="H16" s="8" t="str">
        <f t="shared" si="3"/>
        <v>Completada</v>
      </c>
      <c r="I16" s="10" t="str">
        <f t="shared" ref="I16:AD16" si="14">IF(AND(I$4&lt;=$E16,I$4+6&gt;=$D16),"■","")</f>
        <v/>
      </c>
      <c r="J16" s="10" t="str">
        <f t="shared" si="14"/>
        <v/>
      </c>
      <c r="K16" s="10" t="str">
        <f t="shared" si="14"/>
        <v/>
      </c>
      <c r="L16" s="10" t="str">
        <f t="shared" si="14"/>
        <v/>
      </c>
      <c r="M16" s="10" t="str">
        <f t="shared" si="14"/>
        <v/>
      </c>
      <c r="N16" s="10" t="str">
        <f t="shared" si="14"/>
        <v/>
      </c>
      <c r="O16" s="10" t="str">
        <f t="shared" si="14"/>
        <v/>
      </c>
      <c r="P16" s="10" t="str">
        <f t="shared" si="14"/>
        <v/>
      </c>
      <c r="Q16" s="10" t="str">
        <f t="shared" si="14"/>
        <v/>
      </c>
      <c r="R16" s="10" t="str">
        <f t="shared" si="14"/>
        <v/>
      </c>
      <c r="S16" s="10" t="str">
        <f t="shared" si="14"/>
        <v>■</v>
      </c>
      <c r="T16" s="10" t="str">
        <f t="shared" si="14"/>
        <v>■</v>
      </c>
      <c r="U16" s="10" t="str">
        <f t="shared" si="14"/>
        <v>■</v>
      </c>
      <c r="V16" s="10" t="str">
        <f t="shared" si="14"/>
        <v/>
      </c>
      <c r="W16" s="10" t="str">
        <f t="shared" si="14"/>
        <v/>
      </c>
      <c r="X16" s="10" t="str">
        <f t="shared" si="14"/>
        <v/>
      </c>
      <c r="Y16" s="10" t="str">
        <f t="shared" si="14"/>
        <v/>
      </c>
      <c r="Z16" s="10" t="str">
        <f t="shared" si="14"/>
        <v/>
      </c>
      <c r="AA16" s="10" t="str">
        <f t="shared" si="14"/>
        <v/>
      </c>
      <c r="AB16" s="10" t="str">
        <f t="shared" si="14"/>
        <v/>
      </c>
      <c r="AC16" s="10" t="str">
        <f t="shared" si="14"/>
        <v/>
      </c>
      <c r="AD16" s="10" t="str">
        <f t="shared" si="14"/>
        <v/>
      </c>
    </row>
    <row r="17" ht="15.0" customHeight="1">
      <c r="A17" s="12" t="s">
        <v>25</v>
      </c>
      <c r="B17" s="6" t="s">
        <v>30</v>
      </c>
      <c r="C17" s="6" t="s">
        <v>16</v>
      </c>
      <c r="D17" s="7">
        <v>46146.0</v>
      </c>
      <c r="E17" s="7">
        <v>46157.0</v>
      </c>
      <c r="F17" s="8">
        <f t="shared" si="2"/>
        <v>12</v>
      </c>
      <c r="G17" s="9">
        <v>1.0</v>
      </c>
      <c r="H17" s="8" t="str">
        <f t="shared" si="3"/>
        <v>Completada</v>
      </c>
      <c r="I17" s="10" t="str">
        <f t="shared" ref="I17:AD17" si="15">IF(AND(I$4&lt;=$E17,I$4+6&gt;=$D17),"■","")</f>
        <v/>
      </c>
      <c r="J17" s="10" t="str">
        <f t="shared" si="15"/>
        <v/>
      </c>
      <c r="K17" s="10" t="str">
        <f t="shared" si="15"/>
        <v/>
      </c>
      <c r="L17" s="10" t="str">
        <f t="shared" si="15"/>
        <v/>
      </c>
      <c r="M17" s="10" t="str">
        <f t="shared" si="15"/>
        <v/>
      </c>
      <c r="N17" s="10" t="str">
        <f t="shared" si="15"/>
        <v/>
      </c>
      <c r="O17" s="10" t="str">
        <f t="shared" si="15"/>
        <v/>
      </c>
      <c r="P17" s="10" t="str">
        <f t="shared" si="15"/>
        <v/>
      </c>
      <c r="Q17" s="10" t="str">
        <f t="shared" si="15"/>
        <v/>
      </c>
      <c r="R17" s="10" t="str">
        <f t="shared" si="15"/>
        <v/>
      </c>
      <c r="S17" s="10" t="str">
        <f t="shared" si="15"/>
        <v/>
      </c>
      <c r="T17" s="10" t="str">
        <f t="shared" si="15"/>
        <v/>
      </c>
      <c r="U17" s="10" t="str">
        <f t="shared" si="15"/>
        <v>■</v>
      </c>
      <c r="V17" s="10" t="str">
        <f t="shared" si="15"/>
        <v>■</v>
      </c>
      <c r="W17" s="10" t="str">
        <f t="shared" si="15"/>
        <v/>
      </c>
      <c r="X17" s="10" t="str">
        <f t="shared" si="15"/>
        <v/>
      </c>
      <c r="Y17" s="10" t="str">
        <f t="shared" si="15"/>
        <v/>
      </c>
      <c r="Z17" s="10" t="str">
        <f t="shared" si="15"/>
        <v/>
      </c>
      <c r="AA17" s="10" t="str">
        <f t="shared" si="15"/>
        <v/>
      </c>
      <c r="AB17" s="10" t="str">
        <f t="shared" si="15"/>
        <v/>
      </c>
      <c r="AC17" s="10" t="str">
        <f t="shared" si="15"/>
        <v/>
      </c>
      <c r="AD17" s="10" t="str">
        <f t="shared" si="15"/>
        <v/>
      </c>
    </row>
    <row r="18" ht="15.0" customHeight="1">
      <c r="A18" s="13" t="s">
        <v>31</v>
      </c>
      <c r="B18" s="6" t="s">
        <v>32</v>
      </c>
      <c r="C18" s="6" t="s">
        <v>23</v>
      </c>
      <c r="D18" s="7">
        <v>46146.0</v>
      </c>
      <c r="E18" s="7">
        <v>46164.0</v>
      </c>
      <c r="F18" s="8">
        <f t="shared" si="2"/>
        <v>19</v>
      </c>
      <c r="G18" s="9">
        <v>1.0</v>
      </c>
      <c r="H18" s="8" t="str">
        <f t="shared" si="3"/>
        <v>Completada</v>
      </c>
      <c r="I18" s="10" t="str">
        <f t="shared" ref="I18:AD18" si="16">IF(AND(I$4&lt;=$E18,I$4+6&gt;=$D18),"■","")</f>
        <v/>
      </c>
      <c r="J18" s="10" t="str">
        <f t="shared" si="16"/>
        <v/>
      </c>
      <c r="K18" s="10" t="str">
        <f t="shared" si="16"/>
        <v/>
      </c>
      <c r="L18" s="10" t="str">
        <f t="shared" si="16"/>
        <v/>
      </c>
      <c r="M18" s="10" t="str">
        <f t="shared" si="16"/>
        <v/>
      </c>
      <c r="N18" s="10" t="str">
        <f t="shared" si="16"/>
        <v/>
      </c>
      <c r="O18" s="10" t="str">
        <f t="shared" si="16"/>
        <v/>
      </c>
      <c r="P18" s="10" t="str">
        <f t="shared" si="16"/>
        <v/>
      </c>
      <c r="Q18" s="10" t="str">
        <f t="shared" si="16"/>
        <v/>
      </c>
      <c r="R18" s="10" t="str">
        <f t="shared" si="16"/>
        <v/>
      </c>
      <c r="S18" s="10" t="str">
        <f t="shared" si="16"/>
        <v/>
      </c>
      <c r="T18" s="10" t="str">
        <f t="shared" si="16"/>
        <v/>
      </c>
      <c r="U18" s="10" t="str">
        <f t="shared" si="16"/>
        <v>■</v>
      </c>
      <c r="V18" s="10" t="str">
        <f t="shared" si="16"/>
        <v>■</v>
      </c>
      <c r="W18" s="10" t="str">
        <f t="shared" si="16"/>
        <v>■</v>
      </c>
      <c r="X18" s="10" t="str">
        <f t="shared" si="16"/>
        <v/>
      </c>
      <c r="Y18" s="10" t="str">
        <f t="shared" si="16"/>
        <v/>
      </c>
      <c r="Z18" s="10" t="str">
        <f t="shared" si="16"/>
        <v/>
      </c>
      <c r="AA18" s="10" t="str">
        <f t="shared" si="16"/>
        <v/>
      </c>
      <c r="AB18" s="10" t="str">
        <f t="shared" si="16"/>
        <v/>
      </c>
      <c r="AC18" s="10" t="str">
        <f t="shared" si="16"/>
        <v/>
      </c>
      <c r="AD18" s="10" t="str">
        <f t="shared" si="16"/>
        <v/>
      </c>
    </row>
    <row r="19" ht="15.0" customHeight="1">
      <c r="A19" s="13" t="s">
        <v>31</v>
      </c>
      <c r="B19" s="6" t="s">
        <v>33</v>
      </c>
      <c r="C19" s="6" t="s">
        <v>23</v>
      </c>
      <c r="D19" s="7">
        <v>46153.0</v>
      </c>
      <c r="E19" s="7">
        <v>46171.0</v>
      </c>
      <c r="F19" s="8">
        <f t="shared" si="2"/>
        <v>19</v>
      </c>
      <c r="G19" s="9">
        <v>1.0</v>
      </c>
      <c r="H19" s="8" t="str">
        <f t="shared" si="3"/>
        <v>Completada</v>
      </c>
      <c r="I19" s="10" t="str">
        <f t="shared" ref="I19:AD19" si="17">IF(AND(I$4&lt;=$E19,I$4+6&gt;=$D19),"■","")</f>
        <v/>
      </c>
      <c r="J19" s="10" t="str">
        <f t="shared" si="17"/>
        <v/>
      </c>
      <c r="K19" s="10" t="str">
        <f t="shared" si="17"/>
        <v/>
      </c>
      <c r="L19" s="10" t="str">
        <f t="shared" si="17"/>
        <v/>
      </c>
      <c r="M19" s="10" t="str">
        <f t="shared" si="17"/>
        <v/>
      </c>
      <c r="N19" s="10" t="str">
        <f t="shared" si="17"/>
        <v/>
      </c>
      <c r="O19" s="10" t="str">
        <f t="shared" si="17"/>
        <v/>
      </c>
      <c r="P19" s="10" t="str">
        <f t="shared" si="17"/>
        <v/>
      </c>
      <c r="Q19" s="10" t="str">
        <f t="shared" si="17"/>
        <v/>
      </c>
      <c r="R19" s="10" t="str">
        <f t="shared" si="17"/>
        <v/>
      </c>
      <c r="S19" s="10" t="str">
        <f t="shared" si="17"/>
        <v/>
      </c>
      <c r="T19" s="10" t="str">
        <f t="shared" si="17"/>
        <v/>
      </c>
      <c r="U19" s="10" t="str">
        <f t="shared" si="17"/>
        <v/>
      </c>
      <c r="V19" s="10" t="str">
        <f t="shared" si="17"/>
        <v>■</v>
      </c>
      <c r="W19" s="10" t="str">
        <f t="shared" si="17"/>
        <v>■</v>
      </c>
      <c r="X19" s="10" t="str">
        <f t="shared" si="17"/>
        <v>■</v>
      </c>
      <c r="Y19" s="10" t="str">
        <f t="shared" si="17"/>
        <v/>
      </c>
      <c r="Z19" s="10" t="str">
        <f t="shared" si="17"/>
        <v/>
      </c>
      <c r="AA19" s="10" t="str">
        <f t="shared" si="17"/>
        <v/>
      </c>
      <c r="AB19" s="10" t="str">
        <f t="shared" si="17"/>
        <v/>
      </c>
      <c r="AC19" s="10" t="str">
        <f t="shared" si="17"/>
        <v/>
      </c>
      <c r="AD19" s="10" t="str">
        <f t="shared" si="17"/>
        <v/>
      </c>
    </row>
    <row r="20" ht="15.0" customHeight="1">
      <c r="A20" s="13" t="s">
        <v>31</v>
      </c>
      <c r="B20" s="6" t="s">
        <v>34</v>
      </c>
      <c r="C20" s="6" t="s">
        <v>35</v>
      </c>
      <c r="D20" s="7">
        <v>46160.0</v>
      </c>
      <c r="E20" s="7">
        <v>46178.0</v>
      </c>
      <c r="F20" s="8">
        <f t="shared" si="2"/>
        <v>19</v>
      </c>
      <c r="G20" s="9">
        <v>1.0</v>
      </c>
      <c r="H20" s="8" t="str">
        <f t="shared" si="3"/>
        <v>Completada</v>
      </c>
      <c r="I20" s="10" t="str">
        <f t="shared" ref="I20:AD20" si="18">IF(AND(I$4&lt;=$E20,I$4+6&gt;=$D20),"■","")</f>
        <v/>
      </c>
      <c r="J20" s="10" t="str">
        <f t="shared" si="18"/>
        <v/>
      </c>
      <c r="K20" s="10" t="str">
        <f t="shared" si="18"/>
        <v/>
      </c>
      <c r="L20" s="10" t="str">
        <f t="shared" si="18"/>
        <v/>
      </c>
      <c r="M20" s="10" t="str">
        <f t="shared" si="18"/>
        <v/>
      </c>
      <c r="N20" s="10" t="str">
        <f t="shared" si="18"/>
        <v/>
      </c>
      <c r="O20" s="10" t="str">
        <f t="shared" si="18"/>
        <v/>
      </c>
      <c r="P20" s="10" t="str">
        <f t="shared" si="18"/>
        <v/>
      </c>
      <c r="Q20" s="10" t="str">
        <f t="shared" si="18"/>
        <v/>
      </c>
      <c r="R20" s="10" t="str">
        <f t="shared" si="18"/>
        <v/>
      </c>
      <c r="S20" s="10" t="str">
        <f t="shared" si="18"/>
        <v/>
      </c>
      <c r="T20" s="10" t="str">
        <f t="shared" si="18"/>
        <v/>
      </c>
      <c r="U20" s="10" t="str">
        <f t="shared" si="18"/>
        <v/>
      </c>
      <c r="V20" s="10" t="str">
        <f t="shared" si="18"/>
        <v/>
      </c>
      <c r="W20" s="10" t="str">
        <f t="shared" si="18"/>
        <v>■</v>
      </c>
      <c r="X20" s="10" t="str">
        <f t="shared" si="18"/>
        <v>■</v>
      </c>
      <c r="Y20" s="10" t="str">
        <f t="shared" si="18"/>
        <v>■</v>
      </c>
      <c r="Z20" s="10" t="str">
        <f t="shared" si="18"/>
        <v/>
      </c>
      <c r="AA20" s="10" t="str">
        <f t="shared" si="18"/>
        <v/>
      </c>
      <c r="AB20" s="10" t="str">
        <f t="shared" si="18"/>
        <v/>
      </c>
      <c r="AC20" s="10" t="str">
        <f t="shared" si="18"/>
        <v/>
      </c>
      <c r="AD20" s="10" t="str">
        <f t="shared" si="18"/>
        <v/>
      </c>
    </row>
    <row r="21" ht="15.0" customHeight="1">
      <c r="A21" s="13" t="s">
        <v>31</v>
      </c>
      <c r="B21" s="6" t="s">
        <v>36</v>
      </c>
      <c r="C21" s="6" t="s">
        <v>37</v>
      </c>
      <c r="D21" s="7">
        <v>46153.0</v>
      </c>
      <c r="E21" s="7">
        <v>46171.0</v>
      </c>
      <c r="F21" s="8">
        <f t="shared" si="2"/>
        <v>19</v>
      </c>
      <c r="G21" s="9">
        <v>1.0</v>
      </c>
      <c r="H21" s="8" t="str">
        <f t="shared" si="3"/>
        <v>Completada</v>
      </c>
      <c r="I21" s="10" t="str">
        <f t="shared" ref="I21:AD21" si="19">IF(AND(I$4&lt;=$E21,I$4+6&gt;=$D21),"■","")</f>
        <v/>
      </c>
      <c r="J21" s="10" t="str">
        <f t="shared" si="19"/>
        <v/>
      </c>
      <c r="K21" s="10" t="str">
        <f t="shared" si="19"/>
        <v/>
      </c>
      <c r="L21" s="10" t="str">
        <f t="shared" si="19"/>
        <v/>
      </c>
      <c r="M21" s="10" t="str">
        <f t="shared" si="19"/>
        <v/>
      </c>
      <c r="N21" s="10" t="str">
        <f t="shared" si="19"/>
        <v/>
      </c>
      <c r="O21" s="10" t="str">
        <f t="shared" si="19"/>
        <v/>
      </c>
      <c r="P21" s="10" t="str">
        <f t="shared" si="19"/>
        <v/>
      </c>
      <c r="Q21" s="10" t="str">
        <f t="shared" si="19"/>
        <v/>
      </c>
      <c r="R21" s="10" t="str">
        <f t="shared" si="19"/>
        <v/>
      </c>
      <c r="S21" s="10" t="str">
        <f t="shared" si="19"/>
        <v/>
      </c>
      <c r="T21" s="10" t="str">
        <f t="shared" si="19"/>
        <v/>
      </c>
      <c r="U21" s="10" t="str">
        <f t="shared" si="19"/>
        <v/>
      </c>
      <c r="V21" s="10" t="str">
        <f t="shared" si="19"/>
        <v>■</v>
      </c>
      <c r="W21" s="10" t="str">
        <f t="shared" si="19"/>
        <v>■</v>
      </c>
      <c r="X21" s="10" t="str">
        <f t="shared" si="19"/>
        <v>■</v>
      </c>
      <c r="Y21" s="10" t="str">
        <f t="shared" si="19"/>
        <v/>
      </c>
      <c r="Z21" s="10" t="str">
        <f t="shared" si="19"/>
        <v/>
      </c>
      <c r="AA21" s="10" t="str">
        <f t="shared" si="19"/>
        <v/>
      </c>
      <c r="AB21" s="10" t="str">
        <f t="shared" si="19"/>
        <v/>
      </c>
      <c r="AC21" s="10" t="str">
        <f t="shared" si="19"/>
        <v/>
      </c>
      <c r="AD21" s="10" t="str">
        <f t="shared" si="19"/>
        <v/>
      </c>
    </row>
    <row r="22" ht="15.0" customHeight="1">
      <c r="A22" s="13" t="s">
        <v>31</v>
      </c>
      <c r="B22" s="6" t="s">
        <v>38</v>
      </c>
      <c r="C22" s="6" t="s">
        <v>37</v>
      </c>
      <c r="D22" s="7">
        <v>46160.0</v>
      </c>
      <c r="E22" s="7">
        <v>46178.0</v>
      </c>
      <c r="F22" s="8">
        <f t="shared" si="2"/>
        <v>19</v>
      </c>
      <c r="G22" s="9">
        <v>1.0</v>
      </c>
      <c r="H22" s="8" t="str">
        <f t="shared" si="3"/>
        <v>Completada</v>
      </c>
      <c r="I22" s="10" t="str">
        <f t="shared" ref="I22:AD22" si="20">IF(AND(I$4&lt;=$E22,I$4+6&gt;=$D22),"■","")</f>
        <v/>
      </c>
      <c r="J22" s="10" t="str">
        <f t="shared" si="20"/>
        <v/>
      </c>
      <c r="K22" s="10" t="str">
        <f t="shared" si="20"/>
        <v/>
      </c>
      <c r="L22" s="10" t="str">
        <f t="shared" si="20"/>
        <v/>
      </c>
      <c r="M22" s="10" t="str">
        <f t="shared" si="20"/>
        <v/>
      </c>
      <c r="N22" s="10" t="str">
        <f t="shared" si="20"/>
        <v/>
      </c>
      <c r="O22" s="10" t="str">
        <f t="shared" si="20"/>
        <v/>
      </c>
      <c r="P22" s="10" t="str">
        <f t="shared" si="20"/>
        <v/>
      </c>
      <c r="Q22" s="10" t="str">
        <f t="shared" si="20"/>
        <v/>
      </c>
      <c r="R22" s="10" t="str">
        <f t="shared" si="20"/>
        <v/>
      </c>
      <c r="S22" s="10" t="str">
        <f t="shared" si="20"/>
        <v/>
      </c>
      <c r="T22" s="10" t="str">
        <f t="shared" si="20"/>
        <v/>
      </c>
      <c r="U22" s="10" t="str">
        <f t="shared" si="20"/>
        <v/>
      </c>
      <c r="V22" s="10" t="str">
        <f t="shared" si="20"/>
        <v/>
      </c>
      <c r="W22" s="10" t="str">
        <f t="shared" si="20"/>
        <v>■</v>
      </c>
      <c r="X22" s="10" t="str">
        <f t="shared" si="20"/>
        <v>■</v>
      </c>
      <c r="Y22" s="10" t="str">
        <f t="shared" si="20"/>
        <v>■</v>
      </c>
      <c r="Z22" s="10" t="str">
        <f t="shared" si="20"/>
        <v/>
      </c>
      <c r="AA22" s="10" t="str">
        <f t="shared" si="20"/>
        <v/>
      </c>
      <c r="AB22" s="10" t="str">
        <f t="shared" si="20"/>
        <v/>
      </c>
      <c r="AC22" s="10" t="str">
        <f t="shared" si="20"/>
        <v/>
      </c>
      <c r="AD22" s="10" t="str">
        <f t="shared" si="20"/>
        <v/>
      </c>
    </row>
    <row r="23" ht="15.0" customHeight="1">
      <c r="A23" s="13" t="s">
        <v>31</v>
      </c>
      <c r="B23" s="6" t="s">
        <v>39</v>
      </c>
      <c r="C23" s="6" t="s">
        <v>14</v>
      </c>
      <c r="D23" s="7">
        <v>46167.0</v>
      </c>
      <c r="E23" s="7">
        <v>46185.0</v>
      </c>
      <c r="F23" s="8">
        <f t="shared" si="2"/>
        <v>19</v>
      </c>
      <c r="G23" s="9">
        <v>1.0</v>
      </c>
      <c r="H23" s="8" t="str">
        <f t="shared" si="3"/>
        <v>Completada</v>
      </c>
      <c r="I23" s="10" t="str">
        <f t="shared" ref="I23:AD23" si="21">IF(AND(I$4&lt;=$E23,I$4+6&gt;=$D23),"■","")</f>
        <v/>
      </c>
      <c r="J23" s="10" t="str">
        <f t="shared" si="21"/>
        <v/>
      </c>
      <c r="K23" s="10" t="str">
        <f t="shared" si="21"/>
        <v/>
      </c>
      <c r="L23" s="10" t="str">
        <f t="shared" si="21"/>
        <v/>
      </c>
      <c r="M23" s="10" t="str">
        <f t="shared" si="21"/>
        <v/>
      </c>
      <c r="N23" s="10" t="str">
        <f t="shared" si="21"/>
        <v/>
      </c>
      <c r="O23" s="10" t="str">
        <f t="shared" si="21"/>
        <v/>
      </c>
      <c r="P23" s="10" t="str">
        <f t="shared" si="21"/>
        <v/>
      </c>
      <c r="Q23" s="10" t="str">
        <f t="shared" si="21"/>
        <v/>
      </c>
      <c r="R23" s="10" t="str">
        <f t="shared" si="21"/>
        <v/>
      </c>
      <c r="S23" s="10" t="str">
        <f t="shared" si="21"/>
        <v/>
      </c>
      <c r="T23" s="10" t="str">
        <f t="shared" si="21"/>
        <v/>
      </c>
      <c r="U23" s="10" t="str">
        <f t="shared" si="21"/>
        <v/>
      </c>
      <c r="V23" s="10" t="str">
        <f t="shared" si="21"/>
        <v/>
      </c>
      <c r="W23" s="10" t="str">
        <f t="shared" si="21"/>
        <v/>
      </c>
      <c r="X23" s="10" t="str">
        <f t="shared" si="21"/>
        <v>■</v>
      </c>
      <c r="Y23" s="10" t="str">
        <f t="shared" si="21"/>
        <v>■</v>
      </c>
      <c r="Z23" s="10" t="str">
        <f t="shared" si="21"/>
        <v>■</v>
      </c>
      <c r="AA23" s="10" t="str">
        <f t="shared" si="21"/>
        <v/>
      </c>
      <c r="AB23" s="10" t="str">
        <f t="shared" si="21"/>
        <v/>
      </c>
      <c r="AC23" s="10" t="str">
        <f t="shared" si="21"/>
        <v/>
      </c>
      <c r="AD23" s="10" t="str">
        <f t="shared" si="21"/>
        <v/>
      </c>
    </row>
    <row r="24" ht="15.0" customHeight="1">
      <c r="A24" s="14" t="s">
        <v>40</v>
      </c>
      <c r="B24" s="6" t="s">
        <v>41</v>
      </c>
      <c r="C24" s="6" t="s">
        <v>14</v>
      </c>
      <c r="D24" s="7">
        <v>46167.0</v>
      </c>
      <c r="E24" s="7">
        <v>46185.0</v>
      </c>
      <c r="F24" s="8">
        <f t="shared" si="2"/>
        <v>19</v>
      </c>
      <c r="G24" s="9">
        <v>1.0</v>
      </c>
      <c r="H24" s="8" t="str">
        <f t="shared" si="3"/>
        <v>Completada</v>
      </c>
      <c r="I24" s="10" t="str">
        <f t="shared" ref="I24:AD24" si="22">IF(AND(I$4&lt;=$E24,I$4+6&gt;=$D24),"■","")</f>
        <v/>
      </c>
      <c r="J24" s="10" t="str">
        <f t="shared" si="22"/>
        <v/>
      </c>
      <c r="K24" s="10" t="str">
        <f t="shared" si="22"/>
        <v/>
      </c>
      <c r="L24" s="10" t="str">
        <f t="shared" si="22"/>
        <v/>
      </c>
      <c r="M24" s="10" t="str">
        <f t="shared" si="22"/>
        <v/>
      </c>
      <c r="N24" s="10" t="str">
        <f t="shared" si="22"/>
        <v/>
      </c>
      <c r="O24" s="10" t="str">
        <f t="shared" si="22"/>
        <v/>
      </c>
      <c r="P24" s="10" t="str">
        <f t="shared" si="22"/>
        <v/>
      </c>
      <c r="Q24" s="10" t="str">
        <f t="shared" si="22"/>
        <v/>
      </c>
      <c r="R24" s="10" t="str">
        <f t="shared" si="22"/>
        <v/>
      </c>
      <c r="S24" s="10" t="str">
        <f t="shared" si="22"/>
        <v/>
      </c>
      <c r="T24" s="10" t="str">
        <f t="shared" si="22"/>
        <v/>
      </c>
      <c r="U24" s="10" t="str">
        <f t="shared" si="22"/>
        <v/>
      </c>
      <c r="V24" s="10" t="str">
        <f t="shared" si="22"/>
        <v/>
      </c>
      <c r="W24" s="10" t="str">
        <f t="shared" si="22"/>
        <v/>
      </c>
      <c r="X24" s="10" t="str">
        <f t="shared" si="22"/>
        <v>■</v>
      </c>
      <c r="Y24" s="10" t="str">
        <f t="shared" si="22"/>
        <v>■</v>
      </c>
      <c r="Z24" s="10" t="str">
        <f t="shared" si="22"/>
        <v>■</v>
      </c>
      <c r="AA24" s="10" t="str">
        <f t="shared" si="22"/>
        <v/>
      </c>
      <c r="AB24" s="10" t="str">
        <f t="shared" si="22"/>
        <v/>
      </c>
      <c r="AC24" s="10" t="str">
        <f t="shared" si="22"/>
        <v/>
      </c>
      <c r="AD24" s="10" t="str">
        <f t="shared" si="22"/>
        <v/>
      </c>
    </row>
    <row r="25" ht="15.0" customHeight="1">
      <c r="A25" s="14" t="s">
        <v>40</v>
      </c>
      <c r="B25" s="6" t="s">
        <v>42</v>
      </c>
      <c r="C25" s="6" t="s">
        <v>14</v>
      </c>
      <c r="D25" s="7">
        <v>46174.0</v>
      </c>
      <c r="E25" s="7">
        <v>46192.0</v>
      </c>
      <c r="F25" s="8">
        <f t="shared" si="2"/>
        <v>19</v>
      </c>
      <c r="G25" s="9">
        <v>1.0</v>
      </c>
      <c r="H25" s="8" t="str">
        <f t="shared" si="3"/>
        <v>Completada</v>
      </c>
      <c r="I25" s="10" t="str">
        <f t="shared" ref="I25:AD25" si="23">IF(AND(I$4&lt;=$E25,I$4+6&gt;=$D25),"■","")</f>
        <v/>
      </c>
      <c r="J25" s="10" t="str">
        <f t="shared" si="23"/>
        <v/>
      </c>
      <c r="K25" s="10" t="str">
        <f t="shared" si="23"/>
        <v/>
      </c>
      <c r="L25" s="10" t="str">
        <f t="shared" si="23"/>
        <v/>
      </c>
      <c r="M25" s="10" t="str">
        <f t="shared" si="23"/>
        <v/>
      </c>
      <c r="N25" s="10" t="str">
        <f t="shared" si="23"/>
        <v/>
      </c>
      <c r="O25" s="10" t="str">
        <f t="shared" si="23"/>
        <v/>
      </c>
      <c r="P25" s="10" t="str">
        <f t="shared" si="23"/>
        <v/>
      </c>
      <c r="Q25" s="10" t="str">
        <f t="shared" si="23"/>
        <v/>
      </c>
      <c r="R25" s="10" t="str">
        <f t="shared" si="23"/>
        <v/>
      </c>
      <c r="S25" s="10" t="str">
        <f t="shared" si="23"/>
        <v/>
      </c>
      <c r="T25" s="10" t="str">
        <f t="shared" si="23"/>
        <v/>
      </c>
      <c r="U25" s="10" t="str">
        <f t="shared" si="23"/>
        <v/>
      </c>
      <c r="V25" s="10" t="str">
        <f t="shared" si="23"/>
        <v/>
      </c>
      <c r="W25" s="10" t="str">
        <f t="shared" si="23"/>
        <v/>
      </c>
      <c r="X25" s="10" t="str">
        <f t="shared" si="23"/>
        <v/>
      </c>
      <c r="Y25" s="10" t="str">
        <f t="shared" si="23"/>
        <v>■</v>
      </c>
      <c r="Z25" s="10" t="str">
        <f t="shared" si="23"/>
        <v>■</v>
      </c>
      <c r="AA25" s="10" t="str">
        <f t="shared" si="23"/>
        <v>■</v>
      </c>
      <c r="AB25" s="10" t="str">
        <f t="shared" si="23"/>
        <v/>
      </c>
      <c r="AC25" s="10" t="str">
        <f t="shared" si="23"/>
        <v/>
      </c>
      <c r="AD25" s="10" t="str">
        <f t="shared" si="23"/>
        <v/>
      </c>
    </row>
    <row r="26" ht="15.0" customHeight="1">
      <c r="A26" s="14" t="s">
        <v>40</v>
      </c>
      <c r="B26" s="6" t="s">
        <v>43</v>
      </c>
      <c r="C26" s="6" t="s">
        <v>44</v>
      </c>
      <c r="D26" s="7">
        <v>46181.0</v>
      </c>
      <c r="E26" s="7">
        <v>46199.0</v>
      </c>
      <c r="F26" s="8">
        <f t="shared" si="2"/>
        <v>19</v>
      </c>
      <c r="G26" s="9">
        <v>1.0</v>
      </c>
      <c r="H26" s="8" t="str">
        <f t="shared" si="3"/>
        <v>Completada</v>
      </c>
      <c r="I26" s="10" t="str">
        <f t="shared" ref="I26:AD26" si="24">IF(AND(I$4&lt;=$E26,I$4+6&gt;=$D26),"■","")</f>
        <v/>
      </c>
      <c r="J26" s="10" t="str">
        <f t="shared" si="24"/>
        <v/>
      </c>
      <c r="K26" s="10" t="str">
        <f t="shared" si="24"/>
        <v/>
      </c>
      <c r="L26" s="10" t="str">
        <f t="shared" si="24"/>
        <v/>
      </c>
      <c r="M26" s="10" t="str">
        <f t="shared" si="24"/>
        <v/>
      </c>
      <c r="N26" s="10" t="str">
        <f t="shared" si="24"/>
        <v/>
      </c>
      <c r="O26" s="10" t="str">
        <f t="shared" si="24"/>
        <v/>
      </c>
      <c r="P26" s="10" t="str">
        <f t="shared" si="24"/>
        <v/>
      </c>
      <c r="Q26" s="10" t="str">
        <f t="shared" si="24"/>
        <v/>
      </c>
      <c r="R26" s="10" t="str">
        <f t="shared" si="24"/>
        <v/>
      </c>
      <c r="S26" s="10" t="str">
        <f t="shared" si="24"/>
        <v/>
      </c>
      <c r="T26" s="10" t="str">
        <f t="shared" si="24"/>
        <v/>
      </c>
      <c r="U26" s="10" t="str">
        <f t="shared" si="24"/>
        <v/>
      </c>
      <c r="V26" s="10" t="str">
        <f t="shared" si="24"/>
        <v/>
      </c>
      <c r="W26" s="10" t="str">
        <f t="shared" si="24"/>
        <v/>
      </c>
      <c r="X26" s="10" t="str">
        <f t="shared" si="24"/>
        <v/>
      </c>
      <c r="Y26" s="10" t="str">
        <f t="shared" si="24"/>
        <v/>
      </c>
      <c r="Z26" s="10" t="str">
        <f t="shared" si="24"/>
        <v>■</v>
      </c>
      <c r="AA26" s="10" t="str">
        <f t="shared" si="24"/>
        <v>■</v>
      </c>
      <c r="AB26" s="10" t="str">
        <f t="shared" si="24"/>
        <v>■</v>
      </c>
      <c r="AC26" s="10" t="str">
        <f t="shared" si="24"/>
        <v/>
      </c>
      <c r="AD26" s="10" t="str">
        <f t="shared" si="24"/>
        <v/>
      </c>
    </row>
    <row r="27" ht="15.0" customHeight="1">
      <c r="A27" s="14" t="s">
        <v>40</v>
      </c>
      <c r="B27" s="6" t="s">
        <v>45</v>
      </c>
      <c r="C27" s="6" t="s">
        <v>44</v>
      </c>
      <c r="D27" s="7">
        <v>46188.0</v>
      </c>
      <c r="E27" s="7">
        <v>46206.0</v>
      </c>
      <c r="F27" s="8">
        <f t="shared" si="2"/>
        <v>19</v>
      </c>
      <c r="G27" s="9">
        <v>1.0</v>
      </c>
      <c r="H27" s="8" t="str">
        <f t="shared" si="3"/>
        <v>Completada</v>
      </c>
      <c r="I27" s="10" t="str">
        <f t="shared" ref="I27:AD27" si="25">IF(AND(I$4&lt;=$E27,I$4+6&gt;=$D27),"■","")</f>
        <v/>
      </c>
      <c r="J27" s="10" t="str">
        <f t="shared" si="25"/>
        <v/>
      </c>
      <c r="K27" s="10" t="str">
        <f t="shared" si="25"/>
        <v/>
      </c>
      <c r="L27" s="10" t="str">
        <f t="shared" si="25"/>
        <v/>
      </c>
      <c r="M27" s="10" t="str">
        <f t="shared" si="25"/>
        <v/>
      </c>
      <c r="N27" s="10" t="str">
        <f t="shared" si="25"/>
        <v/>
      </c>
      <c r="O27" s="10" t="str">
        <f t="shared" si="25"/>
        <v/>
      </c>
      <c r="P27" s="10" t="str">
        <f t="shared" si="25"/>
        <v/>
      </c>
      <c r="Q27" s="10" t="str">
        <f t="shared" si="25"/>
        <v/>
      </c>
      <c r="R27" s="10" t="str">
        <f t="shared" si="25"/>
        <v/>
      </c>
      <c r="S27" s="10" t="str">
        <f t="shared" si="25"/>
        <v/>
      </c>
      <c r="T27" s="10" t="str">
        <f t="shared" si="25"/>
        <v/>
      </c>
      <c r="U27" s="10" t="str">
        <f t="shared" si="25"/>
        <v/>
      </c>
      <c r="V27" s="10" t="str">
        <f t="shared" si="25"/>
        <v/>
      </c>
      <c r="W27" s="10" t="str">
        <f t="shared" si="25"/>
        <v/>
      </c>
      <c r="X27" s="10" t="str">
        <f t="shared" si="25"/>
        <v/>
      </c>
      <c r="Y27" s="10" t="str">
        <f t="shared" si="25"/>
        <v/>
      </c>
      <c r="Z27" s="10" t="str">
        <f t="shared" si="25"/>
        <v/>
      </c>
      <c r="AA27" s="10" t="str">
        <f t="shared" si="25"/>
        <v>■</v>
      </c>
      <c r="AB27" s="10" t="str">
        <f t="shared" si="25"/>
        <v>■</v>
      </c>
      <c r="AC27" s="10" t="str">
        <f t="shared" si="25"/>
        <v>■</v>
      </c>
      <c r="AD27" s="10" t="str">
        <f t="shared" si="25"/>
        <v/>
      </c>
    </row>
    <row r="28" ht="15.0" customHeight="1">
      <c r="A28" s="15" t="s">
        <v>46</v>
      </c>
      <c r="B28" s="6" t="s">
        <v>47</v>
      </c>
      <c r="C28" s="6" t="s">
        <v>27</v>
      </c>
      <c r="D28" s="7">
        <v>46174.0</v>
      </c>
      <c r="E28" s="7">
        <v>46192.0</v>
      </c>
      <c r="F28" s="8">
        <f t="shared" si="2"/>
        <v>19</v>
      </c>
      <c r="G28" s="9">
        <v>1.0</v>
      </c>
      <c r="H28" s="8" t="str">
        <f t="shared" si="3"/>
        <v>Completada</v>
      </c>
      <c r="I28" s="10" t="str">
        <f t="shared" ref="I28:AD28" si="26">IF(AND(I$4&lt;=$E28,I$4+6&gt;=$D28),"■","")</f>
        <v/>
      </c>
      <c r="J28" s="10" t="str">
        <f t="shared" si="26"/>
        <v/>
      </c>
      <c r="K28" s="10" t="str">
        <f t="shared" si="26"/>
        <v/>
      </c>
      <c r="L28" s="10" t="str">
        <f t="shared" si="26"/>
        <v/>
      </c>
      <c r="M28" s="10" t="str">
        <f t="shared" si="26"/>
        <v/>
      </c>
      <c r="N28" s="10" t="str">
        <f t="shared" si="26"/>
        <v/>
      </c>
      <c r="O28" s="10" t="str">
        <f t="shared" si="26"/>
        <v/>
      </c>
      <c r="P28" s="10" t="str">
        <f t="shared" si="26"/>
        <v/>
      </c>
      <c r="Q28" s="10" t="str">
        <f t="shared" si="26"/>
        <v/>
      </c>
      <c r="R28" s="10" t="str">
        <f t="shared" si="26"/>
        <v/>
      </c>
      <c r="S28" s="10" t="str">
        <f t="shared" si="26"/>
        <v/>
      </c>
      <c r="T28" s="10" t="str">
        <f t="shared" si="26"/>
        <v/>
      </c>
      <c r="U28" s="10" t="str">
        <f t="shared" si="26"/>
        <v/>
      </c>
      <c r="V28" s="10" t="str">
        <f t="shared" si="26"/>
        <v/>
      </c>
      <c r="W28" s="10" t="str">
        <f t="shared" si="26"/>
        <v/>
      </c>
      <c r="X28" s="10" t="str">
        <f t="shared" si="26"/>
        <v/>
      </c>
      <c r="Y28" s="10" t="str">
        <f t="shared" si="26"/>
        <v>■</v>
      </c>
      <c r="Z28" s="10" t="str">
        <f t="shared" si="26"/>
        <v>■</v>
      </c>
      <c r="AA28" s="10" t="str">
        <f t="shared" si="26"/>
        <v>■</v>
      </c>
      <c r="AB28" s="10" t="str">
        <f t="shared" si="26"/>
        <v/>
      </c>
      <c r="AC28" s="10" t="str">
        <f t="shared" si="26"/>
        <v/>
      </c>
      <c r="AD28" s="10" t="str">
        <f t="shared" si="26"/>
        <v/>
      </c>
    </row>
    <row r="29" ht="15.0" customHeight="1">
      <c r="A29" s="15" t="s">
        <v>46</v>
      </c>
      <c r="B29" s="6" t="s">
        <v>48</v>
      </c>
      <c r="C29" s="6" t="s">
        <v>27</v>
      </c>
      <c r="D29" s="7">
        <v>46181.0</v>
      </c>
      <c r="E29" s="7">
        <v>46199.0</v>
      </c>
      <c r="F29" s="8">
        <f t="shared" si="2"/>
        <v>19</v>
      </c>
      <c r="G29" s="9">
        <v>1.0</v>
      </c>
      <c r="H29" s="8" t="str">
        <f t="shared" si="3"/>
        <v>Completada</v>
      </c>
      <c r="I29" s="10" t="str">
        <f t="shared" ref="I29:AD29" si="27">IF(AND(I$4&lt;=$E29,I$4+6&gt;=$D29),"■","")</f>
        <v/>
      </c>
      <c r="J29" s="10" t="str">
        <f t="shared" si="27"/>
        <v/>
      </c>
      <c r="K29" s="10" t="str">
        <f t="shared" si="27"/>
        <v/>
      </c>
      <c r="L29" s="10" t="str">
        <f t="shared" si="27"/>
        <v/>
      </c>
      <c r="M29" s="10" t="str">
        <f t="shared" si="27"/>
        <v/>
      </c>
      <c r="N29" s="10" t="str">
        <f t="shared" si="27"/>
        <v/>
      </c>
      <c r="O29" s="10" t="str">
        <f t="shared" si="27"/>
        <v/>
      </c>
      <c r="P29" s="10" t="str">
        <f t="shared" si="27"/>
        <v/>
      </c>
      <c r="Q29" s="10" t="str">
        <f t="shared" si="27"/>
        <v/>
      </c>
      <c r="R29" s="10" t="str">
        <f t="shared" si="27"/>
        <v/>
      </c>
      <c r="S29" s="10" t="str">
        <f t="shared" si="27"/>
        <v/>
      </c>
      <c r="T29" s="10" t="str">
        <f t="shared" si="27"/>
        <v/>
      </c>
      <c r="U29" s="10" t="str">
        <f t="shared" si="27"/>
        <v/>
      </c>
      <c r="V29" s="10" t="str">
        <f t="shared" si="27"/>
        <v/>
      </c>
      <c r="W29" s="10" t="str">
        <f t="shared" si="27"/>
        <v/>
      </c>
      <c r="X29" s="10" t="str">
        <f t="shared" si="27"/>
        <v/>
      </c>
      <c r="Y29" s="10" t="str">
        <f t="shared" si="27"/>
        <v/>
      </c>
      <c r="Z29" s="10" t="str">
        <f t="shared" si="27"/>
        <v>■</v>
      </c>
      <c r="AA29" s="10" t="str">
        <f t="shared" si="27"/>
        <v>■</v>
      </c>
      <c r="AB29" s="10" t="str">
        <f t="shared" si="27"/>
        <v>■</v>
      </c>
      <c r="AC29" s="10" t="str">
        <f t="shared" si="27"/>
        <v/>
      </c>
      <c r="AD29" s="10" t="str">
        <f t="shared" si="27"/>
        <v/>
      </c>
    </row>
    <row r="30" ht="15.0" customHeight="1">
      <c r="A30" s="15" t="s">
        <v>46</v>
      </c>
      <c r="B30" s="6" t="s">
        <v>49</v>
      </c>
      <c r="C30" s="6" t="s">
        <v>16</v>
      </c>
      <c r="D30" s="7">
        <v>46195.0</v>
      </c>
      <c r="E30" s="7">
        <v>46206.0</v>
      </c>
      <c r="F30" s="8">
        <f t="shared" si="2"/>
        <v>12</v>
      </c>
      <c r="G30" s="9">
        <v>1.0</v>
      </c>
      <c r="H30" s="8" t="str">
        <f t="shared" si="3"/>
        <v>Completada</v>
      </c>
      <c r="I30" s="10" t="str">
        <f t="shared" ref="I30:AD30" si="28">IF(AND(I$4&lt;=$E30,I$4+6&gt;=$D30),"■","")</f>
        <v/>
      </c>
      <c r="J30" s="10" t="str">
        <f t="shared" si="28"/>
        <v/>
      </c>
      <c r="K30" s="10" t="str">
        <f t="shared" si="28"/>
        <v/>
      </c>
      <c r="L30" s="10" t="str">
        <f t="shared" si="28"/>
        <v/>
      </c>
      <c r="M30" s="10" t="str">
        <f t="shared" si="28"/>
        <v/>
      </c>
      <c r="N30" s="10" t="str">
        <f t="shared" si="28"/>
        <v/>
      </c>
      <c r="O30" s="10" t="str">
        <f t="shared" si="28"/>
        <v/>
      </c>
      <c r="P30" s="10" t="str">
        <f t="shared" si="28"/>
        <v/>
      </c>
      <c r="Q30" s="10" t="str">
        <f t="shared" si="28"/>
        <v/>
      </c>
      <c r="R30" s="10" t="str">
        <f t="shared" si="28"/>
        <v/>
      </c>
      <c r="S30" s="10" t="str">
        <f t="shared" si="28"/>
        <v/>
      </c>
      <c r="T30" s="10" t="str">
        <f t="shared" si="28"/>
        <v/>
      </c>
      <c r="U30" s="10" t="str">
        <f t="shared" si="28"/>
        <v/>
      </c>
      <c r="V30" s="10" t="str">
        <f t="shared" si="28"/>
        <v/>
      </c>
      <c r="W30" s="10" t="str">
        <f t="shared" si="28"/>
        <v/>
      </c>
      <c r="X30" s="10" t="str">
        <f t="shared" si="28"/>
        <v/>
      </c>
      <c r="Y30" s="10" t="str">
        <f t="shared" si="28"/>
        <v/>
      </c>
      <c r="Z30" s="10" t="str">
        <f t="shared" si="28"/>
        <v/>
      </c>
      <c r="AA30" s="10" t="str">
        <f t="shared" si="28"/>
        <v/>
      </c>
      <c r="AB30" s="10" t="str">
        <f t="shared" si="28"/>
        <v>■</v>
      </c>
      <c r="AC30" s="10" t="str">
        <f t="shared" si="28"/>
        <v>■</v>
      </c>
      <c r="AD30" s="10" t="str">
        <f t="shared" si="28"/>
        <v/>
      </c>
    </row>
    <row r="31" ht="15.0" customHeight="1">
      <c r="A31" s="16" t="s">
        <v>50</v>
      </c>
      <c r="B31" s="6" t="s">
        <v>51</v>
      </c>
      <c r="C31" s="6" t="s">
        <v>52</v>
      </c>
      <c r="D31" s="7">
        <v>46181.0</v>
      </c>
      <c r="E31" s="7">
        <v>46199.0</v>
      </c>
      <c r="F31" s="8">
        <f t="shared" si="2"/>
        <v>19</v>
      </c>
      <c r="G31" s="9">
        <v>1.0</v>
      </c>
      <c r="H31" s="8" t="str">
        <f t="shared" si="3"/>
        <v>Completada</v>
      </c>
      <c r="I31" s="10" t="str">
        <f t="shared" ref="I31:AD31" si="29">IF(AND(I$4&lt;=$E31,I$4+6&gt;=$D31),"■","")</f>
        <v/>
      </c>
      <c r="J31" s="10" t="str">
        <f t="shared" si="29"/>
        <v/>
      </c>
      <c r="K31" s="10" t="str">
        <f t="shared" si="29"/>
        <v/>
      </c>
      <c r="L31" s="10" t="str">
        <f t="shared" si="29"/>
        <v/>
      </c>
      <c r="M31" s="10" t="str">
        <f t="shared" si="29"/>
        <v/>
      </c>
      <c r="N31" s="10" t="str">
        <f t="shared" si="29"/>
        <v/>
      </c>
      <c r="O31" s="10" t="str">
        <f t="shared" si="29"/>
        <v/>
      </c>
      <c r="P31" s="10" t="str">
        <f t="shared" si="29"/>
        <v/>
      </c>
      <c r="Q31" s="10" t="str">
        <f t="shared" si="29"/>
        <v/>
      </c>
      <c r="R31" s="10" t="str">
        <f t="shared" si="29"/>
        <v/>
      </c>
      <c r="S31" s="10" t="str">
        <f t="shared" si="29"/>
        <v/>
      </c>
      <c r="T31" s="10" t="str">
        <f t="shared" si="29"/>
        <v/>
      </c>
      <c r="U31" s="10" t="str">
        <f t="shared" si="29"/>
        <v/>
      </c>
      <c r="V31" s="10" t="str">
        <f t="shared" si="29"/>
        <v/>
      </c>
      <c r="W31" s="10" t="str">
        <f t="shared" si="29"/>
        <v/>
      </c>
      <c r="X31" s="10" t="str">
        <f t="shared" si="29"/>
        <v/>
      </c>
      <c r="Y31" s="10" t="str">
        <f t="shared" si="29"/>
        <v/>
      </c>
      <c r="Z31" s="10" t="str">
        <f t="shared" si="29"/>
        <v>■</v>
      </c>
      <c r="AA31" s="10" t="str">
        <f t="shared" si="29"/>
        <v>■</v>
      </c>
      <c r="AB31" s="10" t="str">
        <f t="shared" si="29"/>
        <v>■</v>
      </c>
      <c r="AC31" s="10" t="str">
        <f t="shared" si="29"/>
        <v/>
      </c>
      <c r="AD31" s="10" t="str">
        <f t="shared" si="29"/>
        <v/>
      </c>
    </row>
    <row r="32" ht="15.0" customHeight="1">
      <c r="A32" s="16" t="s">
        <v>50</v>
      </c>
      <c r="B32" s="6" t="s">
        <v>53</v>
      </c>
      <c r="C32" s="6" t="s">
        <v>52</v>
      </c>
      <c r="D32" s="7">
        <v>46188.0</v>
      </c>
      <c r="E32" s="7">
        <v>46206.0</v>
      </c>
      <c r="F32" s="8">
        <f t="shared" si="2"/>
        <v>19</v>
      </c>
      <c r="G32" s="9">
        <v>1.0</v>
      </c>
      <c r="H32" s="8" t="str">
        <f t="shared" si="3"/>
        <v>Completada</v>
      </c>
      <c r="I32" s="10" t="str">
        <f t="shared" ref="I32:AD32" si="30">IF(AND(I$4&lt;=$E32,I$4+6&gt;=$D32),"■","")</f>
        <v/>
      </c>
      <c r="J32" s="10" t="str">
        <f t="shared" si="30"/>
        <v/>
      </c>
      <c r="K32" s="10" t="str">
        <f t="shared" si="30"/>
        <v/>
      </c>
      <c r="L32" s="10" t="str">
        <f t="shared" si="30"/>
        <v/>
      </c>
      <c r="M32" s="10" t="str">
        <f t="shared" si="30"/>
        <v/>
      </c>
      <c r="N32" s="10" t="str">
        <f t="shared" si="30"/>
        <v/>
      </c>
      <c r="O32" s="10" t="str">
        <f t="shared" si="30"/>
        <v/>
      </c>
      <c r="P32" s="10" t="str">
        <f t="shared" si="30"/>
        <v/>
      </c>
      <c r="Q32" s="10" t="str">
        <f t="shared" si="30"/>
        <v/>
      </c>
      <c r="R32" s="10" t="str">
        <f t="shared" si="30"/>
        <v/>
      </c>
      <c r="S32" s="10" t="str">
        <f t="shared" si="30"/>
        <v/>
      </c>
      <c r="T32" s="10" t="str">
        <f t="shared" si="30"/>
        <v/>
      </c>
      <c r="U32" s="10" t="str">
        <f t="shared" si="30"/>
        <v/>
      </c>
      <c r="V32" s="10" t="str">
        <f t="shared" si="30"/>
        <v/>
      </c>
      <c r="W32" s="10" t="str">
        <f t="shared" si="30"/>
        <v/>
      </c>
      <c r="X32" s="10" t="str">
        <f t="shared" si="30"/>
        <v/>
      </c>
      <c r="Y32" s="10" t="str">
        <f t="shared" si="30"/>
        <v/>
      </c>
      <c r="Z32" s="10" t="str">
        <f t="shared" si="30"/>
        <v/>
      </c>
      <c r="AA32" s="10" t="str">
        <f t="shared" si="30"/>
        <v>■</v>
      </c>
      <c r="AB32" s="10" t="str">
        <f t="shared" si="30"/>
        <v>■</v>
      </c>
      <c r="AC32" s="10" t="str">
        <f t="shared" si="30"/>
        <v>■</v>
      </c>
      <c r="AD32" s="10" t="str">
        <f t="shared" si="30"/>
        <v/>
      </c>
    </row>
    <row r="33" ht="15.0" customHeight="1">
      <c r="A33" s="16" t="s">
        <v>50</v>
      </c>
      <c r="B33" s="6" t="s">
        <v>54</v>
      </c>
      <c r="C33" s="6" t="s">
        <v>16</v>
      </c>
      <c r="D33" s="7">
        <v>46195.0</v>
      </c>
      <c r="E33" s="7">
        <v>46206.0</v>
      </c>
      <c r="F33" s="8">
        <f t="shared" si="2"/>
        <v>12</v>
      </c>
      <c r="G33" s="9">
        <v>1.0</v>
      </c>
      <c r="H33" s="8" t="str">
        <f t="shared" si="3"/>
        <v>Completada</v>
      </c>
      <c r="I33" s="10" t="str">
        <f t="shared" ref="I33:AD33" si="31">IF(AND(I$4&lt;=$E33,I$4+6&gt;=$D33),"■","")</f>
        <v/>
      </c>
      <c r="J33" s="10" t="str">
        <f t="shared" si="31"/>
        <v/>
      </c>
      <c r="K33" s="10" t="str">
        <f t="shared" si="31"/>
        <v/>
      </c>
      <c r="L33" s="10" t="str">
        <f t="shared" si="31"/>
        <v/>
      </c>
      <c r="M33" s="10" t="str">
        <f t="shared" si="31"/>
        <v/>
      </c>
      <c r="N33" s="10" t="str">
        <f t="shared" si="31"/>
        <v/>
      </c>
      <c r="O33" s="10" t="str">
        <f t="shared" si="31"/>
        <v/>
      </c>
      <c r="P33" s="10" t="str">
        <f t="shared" si="31"/>
        <v/>
      </c>
      <c r="Q33" s="10" t="str">
        <f t="shared" si="31"/>
        <v/>
      </c>
      <c r="R33" s="10" t="str">
        <f t="shared" si="31"/>
        <v/>
      </c>
      <c r="S33" s="10" t="str">
        <f t="shared" si="31"/>
        <v/>
      </c>
      <c r="T33" s="10" t="str">
        <f t="shared" si="31"/>
        <v/>
      </c>
      <c r="U33" s="10" t="str">
        <f t="shared" si="31"/>
        <v/>
      </c>
      <c r="V33" s="10" t="str">
        <f t="shared" si="31"/>
        <v/>
      </c>
      <c r="W33" s="10" t="str">
        <f t="shared" si="31"/>
        <v/>
      </c>
      <c r="X33" s="10" t="str">
        <f t="shared" si="31"/>
        <v/>
      </c>
      <c r="Y33" s="10" t="str">
        <f t="shared" si="31"/>
        <v/>
      </c>
      <c r="Z33" s="10" t="str">
        <f t="shared" si="31"/>
        <v/>
      </c>
      <c r="AA33" s="10" t="str">
        <f t="shared" si="31"/>
        <v/>
      </c>
      <c r="AB33" s="10" t="str">
        <f t="shared" si="31"/>
        <v>■</v>
      </c>
      <c r="AC33" s="10" t="str">
        <f t="shared" si="31"/>
        <v>■</v>
      </c>
      <c r="AD33" s="10" t="str">
        <f t="shared" si="31"/>
        <v/>
      </c>
    </row>
    <row r="34" ht="15.0" customHeight="1">
      <c r="A34" s="16" t="s">
        <v>50</v>
      </c>
      <c r="B34" s="6" t="s">
        <v>55</v>
      </c>
      <c r="C34" s="6" t="s">
        <v>16</v>
      </c>
      <c r="D34" s="7">
        <v>46202.0</v>
      </c>
      <c r="E34" s="7">
        <v>46210.0</v>
      </c>
      <c r="F34" s="8">
        <f t="shared" si="2"/>
        <v>9</v>
      </c>
      <c r="G34" s="9">
        <v>1.0</v>
      </c>
      <c r="H34" s="8" t="str">
        <f t="shared" si="3"/>
        <v>Completada</v>
      </c>
      <c r="I34" s="10" t="str">
        <f t="shared" ref="I34:AD34" si="32">IF(AND(I$4&lt;=$E34,I$4+6&gt;=$D34),"■","")</f>
        <v/>
      </c>
      <c r="J34" s="10" t="str">
        <f t="shared" si="32"/>
        <v/>
      </c>
      <c r="K34" s="10" t="str">
        <f t="shared" si="32"/>
        <v/>
      </c>
      <c r="L34" s="10" t="str">
        <f t="shared" si="32"/>
        <v/>
      </c>
      <c r="M34" s="10" t="str">
        <f t="shared" si="32"/>
        <v/>
      </c>
      <c r="N34" s="10" t="str">
        <f t="shared" si="32"/>
        <v/>
      </c>
      <c r="O34" s="10" t="str">
        <f t="shared" si="32"/>
        <v/>
      </c>
      <c r="P34" s="10" t="str">
        <f t="shared" si="32"/>
        <v/>
      </c>
      <c r="Q34" s="10" t="str">
        <f t="shared" si="32"/>
        <v/>
      </c>
      <c r="R34" s="10" t="str">
        <f t="shared" si="32"/>
        <v/>
      </c>
      <c r="S34" s="10" t="str">
        <f t="shared" si="32"/>
        <v/>
      </c>
      <c r="T34" s="10" t="str">
        <f t="shared" si="32"/>
        <v/>
      </c>
      <c r="U34" s="10" t="str">
        <f t="shared" si="32"/>
        <v/>
      </c>
      <c r="V34" s="10" t="str">
        <f t="shared" si="32"/>
        <v/>
      </c>
      <c r="W34" s="10" t="str">
        <f t="shared" si="32"/>
        <v/>
      </c>
      <c r="X34" s="10" t="str">
        <f t="shared" si="32"/>
        <v/>
      </c>
      <c r="Y34" s="10" t="str">
        <f t="shared" si="32"/>
        <v/>
      </c>
      <c r="Z34" s="10" t="str">
        <f t="shared" si="32"/>
        <v/>
      </c>
      <c r="AA34" s="10" t="str">
        <f t="shared" si="32"/>
        <v/>
      </c>
      <c r="AB34" s="10" t="str">
        <f t="shared" si="32"/>
        <v/>
      </c>
      <c r="AC34" s="10" t="str">
        <f t="shared" si="32"/>
        <v>■</v>
      </c>
      <c r="AD34" s="10" t="str">
        <f t="shared" si="32"/>
        <v>■</v>
      </c>
    </row>
    <row r="35" ht="15.0" customHeight="1">
      <c r="A35" s="16" t="s">
        <v>50</v>
      </c>
      <c r="B35" s="6" t="s">
        <v>56</v>
      </c>
      <c r="C35" s="6" t="s">
        <v>16</v>
      </c>
      <c r="D35" s="7">
        <v>46202.0</v>
      </c>
      <c r="E35" s="7">
        <v>46210.0</v>
      </c>
      <c r="F35" s="8">
        <f t="shared" si="2"/>
        <v>9</v>
      </c>
      <c r="G35" s="9">
        <v>1.0</v>
      </c>
      <c r="H35" s="8" t="str">
        <f t="shared" si="3"/>
        <v>Completada</v>
      </c>
      <c r="I35" s="10" t="str">
        <f t="shared" ref="I35:AD35" si="33">IF(AND(I$4&lt;=$E35,I$4+6&gt;=$D35),"■","")</f>
        <v/>
      </c>
      <c r="J35" s="10" t="str">
        <f t="shared" si="33"/>
        <v/>
      </c>
      <c r="K35" s="10" t="str">
        <f t="shared" si="33"/>
        <v/>
      </c>
      <c r="L35" s="10" t="str">
        <f t="shared" si="33"/>
        <v/>
      </c>
      <c r="M35" s="10" t="str">
        <f t="shared" si="33"/>
        <v/>
      </c>
      <c r="N35" s="10" t="str">
        <f t="shared" si="33"/>
        <v/>
      </c>
      <c r="O35" s="10" t="str">
        <f t="shared" si="33"/>
        <v/>
      </c>
      <c r="P35" s="10" t="str">
        <f t="shared" si="33"/>
        <v/>
      </c>
      <c r="Q35" s="10" t="str">
        <f t="shared" si="33"/>
        <v/>
      </c>
      <c r="R35" s="10" t="str">
        <f t="shared" si="33"/>
        <v/>
      </c>
      <c r="S35" s="10" t="str">
        <f t="shared" si="33"/>
        <v/>
      </c>
      <c r="T35" s="10" t="str">
        <f t="shared" si="33"/>
        <v/>
      </c>
      <c r="U35" s="10" t="str">
        <f t="shared" si="33"/>
        <v/>
      </c>
      <c r="V35" s="10" t="str">
        <f t="shared" si="33"/>
        <v/>
      </c>
      <c r="W35" s="10" t="str">
        <f t="shared" si="33"/>
        <v/>
      </c>
      <c r="X35" s="10" t="str">
        <f t="shared" si="33"/>
        <v/>
      </c>
      <c r="Y35" s="10" t="str">
        <f t="shared" si="33"/>
        <v/>
      </c>
      <c r="Z35" s="10" t="str">
        <f t="shared" si="33"/>
        <v/>
      </c>
      <c r="AA35" s="10" t="str">
        <f t="shared" si="33"/>
        <v/>
      </c>
      <c r="AB35" s="10" t="str">
        <f t="shared" si="33"/>
        <v/>
      </c>
      <c r="AC35" s="10" t="str">
        <f t="shared" si="33"/>
        <v>■</v>
      </c>
      <c r="AD35" s="10" t="str">
        <f t="shared" si="33"/>
        <v>■</v>
      </c>
    </row>
    <row r="36" ht="15.0" customHeight="1">
      <c r="A36" s="16" t="s">
        <v>50</v>
      </c>
      <c r="B36" s="6" t="s">
        <v>57</v>
      </c>
      <c r="C36" s="6" t="s">
        <v>12</v>
      </c>
      <c r="D36" s="7">
        <v>46202.0</v>
      </c>
      <c r="E36" s="7">
        <v>46210.0</v>
      </c>
      <c r="F36" s="8">
        <f t="shared" si="2"/>
        <v>9</v>
      </c>
      <c r="G36" s="9">
        <v>1.0</v>
      </c>
      <c r="H36" s="8" t="str">
        <f t="shared" si="3"/>
        <v>Completada</v>
      </c>
      <c r="I36" s="10" t="str">
        <f t="shared" ref="I36:AD36" si="34">IF(AND(I$4&lt;=$E36,I$4+6&gt;=$D36),"■","")</f>
        <v/>
      </c>
      <c r="J36" s="10" t="str">
        <f t="shared" si="34"/>
        <v/>
      </c>
      <c r="K36" s="10" t="str">
        <f t="shared" si="34"/>
        <v/>
      </c>
      <c r="L36" s="10" t="str">
        <f t="shared" si="34"/>
        <v/>
      </c>
      <c r="M36" s="10" t="str">
        <f t="shared" si="34"/>
        <v/>
      </c>
      <c r="N36" s="10" t="str">
        <f t="shared" si="34"/>
        <v/>
      </c>
      <c r="O36" s="10" t="str">
        <f t="shared" si="34"/>
        <v/>
      </c>
      <c r="P36" s="10" t="str">
        <f t="shared" si="34"/>
        <v/>
      </c>
      <c r="Q36" s="10" t="str">
        <f t="shared" si="34"/>
        <v/>
      </c>
      <c r="R36" s="10" t="str">
        <f t="shared" si="34"/>
        <v/>
      </c>
      <c r="S36" s="10" t="str">
        <f t="shared" si="34"/>
        <v/>
      </c>
      <c r="T36" s="10" t="str">
        <f t="shared" si="34"/>
        <v/>
      </c>
      <c r="U36" s="10" t="str">
        <f t="shared" si="34"/>
        <v/>
      </c>
      <c r="V36" s="10" t="str">
        <f t="shared" si="34"/>
        <v/>
      </c>
      <c r="W36" s="10" t="str">
        <f t="shared" si="34"/>
        <v/>
      </c>
      <c r="X36" s="10" t="str">
        <f t="shared" si="34"/>
        <v/>
      </c>
      <c r="Y36" s="10" t="str">
        <f t="shared" si="34"/>
        <v/>
      </c>
      <c r="Z36" s="10" t="str">
        <f t="shared" si="34"/>
        <v/>
      </c>
      <c r="AA36" s="10" t="str">
        <f t="shared" si="34"/>
        <v/>
      </c>
      <c r="AB36" s="10" t="str">
        <f t="shared" si="34"/>
        <v/>
      </c>
      <c r="AC36" s="10" t="str">
        <f t="shared" si="34"/>
        <v>■</v>
      </c>
      <c r="AD36" s="10" t="str">
        <f t="shared" si="34"/>
        <v>■</v>
      </c>
    </row>
    <row r="37" ht="15.0" customHeight="1">
      <c r="A37" s="17" t="s">
        <v>58</v>
      </c>
      <c r="B37" s="6" t="s">
        <v>59</v>
      </c>
      <c r="C37" s="6" t="s">
        <v>52</v>
      </c>
      <c r="D37" s="7">
        <v>46202.0</v>
      </c>
      <c r="E37" s="7">
        <v>46210.0</v>
      </c>
      <c r="F37" s="8">
        <f t="shared" si="2"/>
        <v>9</v>
      </c>
      <c r="G37" s="9">
        <v>1.0</v>
      </c>
      <c r="H37" s="8" t="str">
        <f t="shared" si="3"/>
        <v>Completada</v>
      </c>
      <c r="I37" s="10" t="str">
        <f t="shared" ref="I37:AD37" si="35">IF(AND(I$4&lt;=$E37,I$4+6&gt;=$D37),"■","")</f>
        <v/>
      </c>
      <c r="J37" s="10" t="str">
        <f t="shared" si="35"/>
        <v/>
      </c>
      <c r="K37" s="10" t="str">
        <f t="shared" si="35"/>
        <v/>
      </c>
      <c r="L37" s="10" t="str">
        <f t="shared" si="35"/>
        <v/>
      </c>
      <c r="M37" s="10" t="str">
        <f t="shared" si="35"/>
        <v/>
      </c>
      <c r="N37" s="10" t="str">
        <f t="shared" si="35"/>
        <v/>
      </c>
      <c r="O37" s="10" t="str">
        <f t="shared" si="35"/>
        <v/>
      </c>
      <c r="P37" s="10" t="str">
        <f t="shared" si="35"/>
        <v/>
      </c>
      <c r="Q37" s="10" t="str">
        <f t="shared" si="35"/>
        <v/>
      </c>
      <c r="R37" s="10" t="str">
        <f t="shared" si="35"/>
        <v/>
      </c>
      <c r="S37" s="10" t="str">
        <f t="shared" si="35"/>
        <v/>
      </c>
      <c r="T37" s="10" t="str">
        <f t="shared" si="35"/>
        <v/>
      </c>
      <c r="U37" s="10" t="str">
        <f t="shared" si="35"/>
        <v/>
      </c>
      <c r="V37" s="10" t="str">
        <f t="shared" si="35"/>
        <v/>
      </c>
      <c r="W37" s="10" t="str">
        <f t="shared" si="35"/>
        <v/>
      </c>
      <c r="X37" s="10" t="str">
        <f t="shared" si="35"/>
        <v/>
      </c>
      <c r="Y37" s="10" t="str">
        <f t="shared" si="35"/>
        <v/>
      </c>
      <c r="Z37" s="10" t="str">
        <f t="shared" si="35"/>
        <v/>
      </c>
      <c r="AA37" s="10" t="str">
        <f t="shared" si="35"/>
        <v/>
      </c>
      <c r="AB37" s="10" t="str">
        <f t="shared" si="35"/>
        <v/>
      </c>
      <c r="AC37" s="10" t="str">
        <f t="shared" si="35"/>
        <v>■</v>
      </c>
      <c r="AD37" s="10" t="str">
        <f t="shared" si="35"/>
        <v>■</v>
      </c>
    </row>
    <row r="38" ht="15.0" customHeight="1">
      <c r="A38" s="17" t="s">
        <v>58</v>
      </c>
      <c r="B38" s="6" t="s">
        <v>60</v>
      </c>
      <c r="C38" s="6" t="s">
        <v>52</v>
      </c>
      <c r="D38" s="7">
        <v>46202.0</v>
      </c>
      <c r="E38" s="7">
        <v>46210.0</v>
      </c>
      <c r="F38" s="8">
        <f t="shared" si="2"/>
        <v>9</v>
      </c>
      <c r="G38" s="9">
        <v>1.0</v>
      </c>
      <c r="H38" s="8" t="str">
        <f t="shared" si="3"/>
        <v>Completada</v>
      </c>
      <c r="I38" s="10" t="str">
        <f t="shared" ref="I38:AD38" si="36">IF(AND(I$4&lt;=$E38,I$4+6&gt;=$D38),"■","")</f>
        <v/>
      </c>
      <c r="J38" s="10" t="str">
        <f t="shared" si="36"/>
        <v/>
      </c>
      <c r="K38" s="10" t="str">
        <f t="shared" si="36"/>
        <v/>
      </c>
      <c r="L38" s="10" t="str">
        <f t="shared" si="36"/>
        <v/>
      </c>
      <c r="M38" s="10" t="str">
        <f t="shared" si="36"/>
        <v/>
      </c>
      <c r="N38" s="10" t="str">
        <f t="shared" si="36"/>
        <v/>
      </c>
      <c r="O38" s="10" t="str">
        <f t="shared" si="36"/>
        <v/>
      </c>
      <c r="P38" s="10" t="str">
        <f t="shared" si="36"/>
        <v/>
      </c>
      <c r="Q38" s="10" t="str">
        <f t="shared" si="36"/>
        <v/>
      </c>
      <c r="R38" s="10" t="str">
        <f t="shared" si="36"/>
        <v/>
      </c>
      <c r="S38" s="10" t="str">
        <f t="shared" si="36"/>
        <v/>
      </c>
      <c r="T38" s="10" t="str">
        <f t="shared" si="36"/>
        <v/>
      </c>
      <c r="U38" s="10" t="str">
        <f t="shared" si="36"/>
        <v/>
      </c>
      <c r="V38" s="10" t="str">
        <f t="shared" si="36"/>
        <v/>
      </c>
      <c r="W38" s="10" t="str">
        <f t="shared" si="36"/>
        <v/>
      </c>
      <c r="X38" s="10" t="str">
        <f t="shared" si="36"/>
        <v/>
      </c>
      <c r="Y38" s="10" t="str">
        <f t="shared" si="36"/>
        <v/>
      </c>
      <c r="Z38" s="10" t="str">
        <f t="shared" si="36"/>
        <v/>
      </c>
      <c r="AA38" s="10" t="str">
        <f t="shared" si="36"/>
        <v/>
      </c>
      <c r="AB38" s="10" t="str">
        <f t="shared" si="36"/>
        <v/>
      </c>
      <c r="AC38" s="10" t="str">
        <f t="shared" si="36"/>
        <v>■</v>
      </c>
      <c r="AD38" s="10" t="str">
        <f t="shared" si="36"/>
        <v>■</v>
      </c>
    </row>
    <row r="39" ht="15.0" customHeight="1">
      <c r="A39" s="17" t="s">
        <v>58</v>
      </c>
      <c r="B39" s="6" t="s">
        <v>61</v>
      </c>
      <c r="C39" s="6" t="s">
        <v>52</v>
      </c>
      <c r="D39" s="7">
        <v>46202.0</v>
      </c>
      <c r="E39" s="7">
        <v>46210.0</v>
      </c>
      <c r="F39" s="8">
        <f t="shared" si="2"/>
        <v>9</v>
      </c>
      <c r="G39" s="9">
        <v>1.0</v>
      </c>
      <c r="H39" s="8" t="str">
        <f t="shared" si="3"/>
        <v>Completada</v>
      </c>
      <c r="I39" s="10" t="str">
        <f t="shared" ref="I39:AD39" si="37">IF(AND(I$4&lt;=$E39,I$4+6&gt;=$D39),"■","")</f>
        <v/>
      </c>
      <c r="J39" s="10" t="str">
        <f t="shared" si="37"/>
        <v/>
      </c>
      <c r="K39" s="10" t="str">
        <f t="shared" si="37"/>
        <v/>
      </c>
      <c r="L39" s="10" t="str">
        <f t="shared" si="37"/>
        <v/>
      </c>
      <c r="M39" s="10" t="str">
        <f t="shared" si="37"/>
        <v/>
      </c>
      <c r="N39" s="10" t="str">
        <f t="shared" si="37"/>
        <v/>
      </c>
      <c r="O39" s="10" t="str">
        <f t="shared" si="37"/>
        <v/>
      </c>
      <c r="P39" s="10" t="str">
        <f t="shared" si="37"/>
        <v/>
      </c>
      <c r="Q39" s="10" t="str">
        <f t="shared" si="37"/>
        <v/>
      </c>
      <c r="R39" s="10" t="str">
        <f t="shared" si="37"/>
        <v/>
      </c>
      <c r="S39" s="10" t="str">
        <f t="shared" si="37"/>
        <v/>
      </c>
      <c r="T39" s="10" t="str">
        <f t="shared" si="37"/>
        <v/>
      </c>
      <c r="U39" s="10" t="str">
        <f t="shared" si="37"/>
        <v/>
      </c>
      <c r="V39" s="10" t="str">
        <f t="shared" si="37"/>
        <v/>
      </c>
      <c r="W39" s="10" t="str">
        <f t="shared" si="37"/>
        <v/>
      </c>
      <c r="X39" s="10" t="str">
        <f t="shared" si="37"/>
        <v/>
      </c>
      <c r="Y39" s="10" t="str">
        <f t="shared" si="37"/>
        <v/>
      </c>
      <c r="Z39" s="10" t="str">
        <f t="shared" si="37"/>
        <v/>
      </c>
      <c r="AA39" s="10" t="str">
        <f t="shared" si="37"/>
        <v/>
      </c>
      <c r="AB39" s="10" t="str">
        <f t="shared" si="37"/>
        <v/>
      </c>
      <c r="AC39" s="10" t="str">
        <f t="shared" si="37"/>
        <v>■</v>
      </c>
      <c r="AD39" s="10" t="str">
        <f t="shared" si="37"/>
        <v>■</v>
      </c>
    </row>
    <row r="40" ht="15.0" customHeight="1">
      <c r="A40" s="17" t="s">
        <v>58</v>
      </c>
      <c r="B40" s="6" t="s">
        <v>62</v>
      </c>
      <c r="C40" s="6" t="s">
        <v>12</v>
      </c>
      <c r="D40" s="7">
        <v>46202.0</v>
      </c>
      <c r="E40" s="7">
        <v>46210.0</v>
      </c>
      <c r="F40" s="8">
        <f t="shared" si="2"/>
        <v>9</v>
      </c>
      <c r="G40" s="18">
        <v>1.0</v>
      </c>
      <c r="H40" s="8" t="str">
        <f t="shared" si="3"/>
        <v>Completada</v>
      </c>
      <c r="I40" s="10" t="str">
        <f t="shared" ref="I40:AD40" si="38">IF(AND(I$4&lt;=$E40,I$4+6&gt;=$D40),"■","")</f>
        <v/>
      </c>
      <c r="J40" s="10" t="str">
        <f t="shared" si="38"/>
        <v/>
      </c>
      <c r="K40" s="10" t="str">
        <f t="shared" si="38"/>
        <v/>
      </c>
      <c r="L40" s="10" t="str">
        <f t="shared" si="38"/>
        <v/>
      </c>
      <c r="M40" s="10" t="str">
        <f t="shared" si="38"/>
        <v/>
      </c>
      <c r="N40" s="10" t="str">
        <f t="shared" si="38"/>
        <v/>
      </c>
      <c r="O40" s="10" t="str">
        <f t="shared" si="38"/>
        <v/>
      </c>
      <c r="P40" s="10" t="str">
        <f t="shared" si="38"/>
        <v/>
      </c>
      <c r="Q40" s="10" t="str">
        <f t="shared" si="38"/>
        <v/>
      </c>
      <c r="R40" s="10" t="str">
        <f t="shared" si="38"/>
        <v/>
      </c>
      <c r="S40" s="10" t="str">
        <f t="shared" si="38"/>
        <v/>
      </c>
      <c r="T40" s="10" t="str">
        <f t="shared" si="38"/>
        <v/>
      </c>
      <c r="U40" s="10" t="str">
        <f t="shared" si="38"/>
        <v/>
      </c>
      <c r="V40" s="10" t="str">
        <f t="shared" si="38"/>
        <v/>
      </c>
      <c r="W40" s="10" t="str">
        <f t="shared" si="38"/>
        <v/>
      </c>
      <c r="X40" s="10" t="str">
        <f t="shared" si="38"/>
        <v/>
      </c>
      <c r="Y40" s="10" t="str">
        <f t="shared" si="38"/>
        <v/>
      </c>
      <c r="Z40" s="10" t="str">
        <f t="shared" si="38"/>
        <v/>
      </c>
      <c r="AA40" s="10" t="str">
        <f t="shared" si="38"/>
        <v/>
      </c>
      <c r="AB40" s="10" t="str">
        <f t="shared" si="38"/>
        <v/>
      </c>
      <c r="AC40" s="10" t="str">
        <f t="shared" si="38"/>
        <v>■</v>
      </c>
      <c r="AD40" s="10" t="str">
        <f t="shared" si="38"/>
        <v>■</v>
      </c>
    </row>
    <row r="41" ht="15.0" customHeight="1">
      <c r="A41" s="19" t="s">
        <v>63</v>
      </c>
      <c r="B41" s="6" t="s">
        <v>64</v>
      </c>
      <c r="C41" s="6" t="s">
        <v>65</v>
      </c>
      <c r="D41" s="7">
        <v>46195.0</v>
      </c>
      <c r="E41" s="7">
        <v>46210.0</v>
      </c>
      <c r="F41" s="8">
        <f t="shared" si="2"/>
        <v>16</v>
      </c>
      <c r="G41" s="18">
        <v>1.0</v>
      </c>
      <c r="H41" s="8" t="str">
        <f t="shared" si="3"/>
        <v>Completada</v>
      </c>
      <c r="I41" s="10" t="str">
        <f t="shared" ref="I41:AD41" si="39">IF(AND(I$4&lt;=$E41,I$4+6&gt;=$D41),"■","")</f>
        <v/>
      </c>
      <c r="J41" s="10" t="str">
        <f t="shared" si="39"/>
        <v/>
      </c>
      <c r="K41" s="10" t="str">
        <f t="shared" si="39"/>
        <v/>
      </c>
      <c r="L41" s="10" t="str">
        <f t="shared" si="39"/>
        <v/>
      </c>
      <c r="M41" s="10" t="str">
        <f t="shared" si="39"/>
        <v/>
      </c>
      <c r="N41" s="10" t="str">
        <f t="shared" si="39"/>
        <v/>
      </c>
      <c r="O41" s="10" t="str">
        <f t="shared" si="39"/>
        <v/>
      </c>
      <c r="P41" s="10" t="str">
        <f t="shared" si="39"/>
        <v/>
      </c>
      <c r="Q41" s="10" t="str">
        <f t="shared" si="39"/>
        <v/>
      </c>
      <c r="R41" s="10" t="str">
        <f t="shared" si="39"/>
        <v/>
      </c>
      <c r="S41" s="10" t="str">
        <f t="shared" si="39"/>
        <v/>
      </c>
      <c r="T41" s="10" t="str">
        <f t="shared" si="39"/>
        <v/>
      </c>
      <c r="U41" s="10" t="str">
        <f t="shared" si="39"/>
        <v/>
      </c>
      <c r="V41" s="10" t="str">
        <f t="shared" si="39"/>
        <v/>
      </c>
      <c r="W41" s="10" t="str">
        <f t="shared" si="39"/>
        <v/>
      </c>
      <c r="X41" s="10" t="str">
        <f t="shared" si="39"/>
        <v/>
      </c>
      <c r="Y41" s="10" t="str">
        <f t="shared" si="39"/>
        <v/>
      </c>
      <c r="Z41" s="10" t="str">
        <f t="shared" si="39"/>
        <v/>
      </c>
      <c r="AA41" s="10" t="str">
        <f t="shared" si="39"/>
        <v/>
      </c>
      <c r="AB41" s="10" t="str">
        <f t="shared" si="39"/>
        <v>■</v>
      </c>
      <c r="AC41" s="10" t="str">
        <f t="shared" si="39"/>
        <v>■</v>
      </c>
      <c r="AD41" s="10" t="str">
        <f t="shared" si="39"/>
        <v>■</v>
      </c>
    </row>
    <row r="42" ht="15.0" customHeight="1">
      <c r="A42" s="19" t="s">
        <v>63</v>
      </c>
      <c r="B42" s="6" t="s">
        <v>66</v>
      </c>
      <c r="C42" s="6" t="s">
        <v>52</v>
      </c>
      <c r="D42" s="7">
        <v>46202.0</v>
      </c>
      <c r="E42" s="7">
        <v>46210.0</v>
      </c>
      <c r="F42" s="8">
        <f t="shared" si="2"/>
        <v>9</v>
      </c>
      <c r="G42" s="18">
        <v>1.0</v>
      </c>
      <c r="H42" s="8" t="str">
        <f t="shared" si="3"/>
        <v>Completada</v>
      </c>
      <c r="I42" s="10" t="str">
        <f t="shared" ref="I42:AD42" si="40">IF(AND(I$4&lt;=$E42,I$4+6&gt;=$D42),"■","")</f>
        <v/>
      </c>
      <c r="J42" s="10" t="str">
        <f t="shared" si="40"/>
        <v/>
      </c>
      <c r="K42" s="10" t="str">
        <f t="shared" si="40"/>
        <v/>
      </c>
      <c r="L42" s="10" t="str">
        <f t="shared" si="40"/>
        <v/>
      </c>
      <c r="M42" s="10" t="str">
        <f t="shared" si="40"/>
        <v/>
      </c>
      <c r="N42" s="10" t="str">
        <f t="shared" si="40"/>
        <v/>
      </c>
      <c r="O42" s="10" t="str">
        <f t="shared" si="40"/>
        <v/>
      </c>
      <c r="P42" s="10" t="str">
        <f t="shared" si="40"/>
        <v/>
      </c>
      <c r="Q42" s="10" t="str">
        <f t="shared" si="40"/>
        <v/>
      </c>
      <c r="R42" s="10" t="str">
        <f t="shared" si="40"/>
        <v/>
      </c>
      <c r="S42" s="10" t="str">
        <f t="shared" si="40"/>
        <v/>
      </c>
      <c r="T42" s="10" t="str">
        <f t="shared" si="40"/>
        <v/>
      </c>
      <c r="U42" s="10" t="str">
        <f t="shared" si="40"/>
        <v/>
      </c>
      <c r="V42" s="10" t="str">
        <f t="shared" si="40"/>
        <v/>
      </c>
      <c r="W42" s="10" t="str">
        <f t="shared" si="40"/>
        <v/>
      </c>
      <c r="X42" s="10" t="str">
        <f t="shared" si="40"/>
        <v/>
      </c>
      <c r="Y42" s="10" t="str">
        <f t="shared" si="40"/>
        <v/>
      </c>
      <c r="Z42" s="10" t="str">
        <f t="shared" si="40"/>
        <v/>
      </c>
      <c r="AA42" s="10" t="str">
        <f t="shared" si="40"/>
        <v/>
      </c>
      <c r="AB42" s="10" t="str">
        <f t="shared" si="40"/>
        <v/>
      </c>
      <c r="AC42" s="10" t="str">
        <f t="shared" si="40"/>
        <v>■</v>
      </c>
      <c r="AD42" s="10" t="str">
        <f t="shared" si="40"/>
        <v>■</v>
      </c>
    </row>
    <row r="43" ht="15.0" customHeight="1">
      <c r="A43" s="19" t="s">
        <v>63</v>
      </c>
      <c r="B43" s="6" t="s">
        <v>67</v>
      </c>
      <c r="C43" s="6" t="s">
        <v>12</v>
      </c>
      <c r="D43" s="7">
        <v>46204.0</v>
      </c>
      <c r="E43" s="7">
        <v>46210.0</v>
      </c>
      <c r="F43" s="8">
        <f t="shared" si="2"/>
        <v>7</v>
      </c>
      <c r="G43" s="18">
        <v>0.95</v>
      </c>
      <c r="H43" s="8" t="str">
        <f t="shared" si="3"/>
        <v>En curso</v>
      </c>
      <c r="I43" s="10" t="str">
        <f t="shared" ref="I43:AD43" si="41">IF(AND(I$4&lt;=$E43,I$4+6&gt;=$D43),"■","")</f>
        <v/>
      </c>
      <c r="J43" s="10" t="str">
        <f t="shared" si="41"/>
        <v/>
      </c>
      <c r="K43" s="10" t="str">
        <f t="shared" si="41"/>
        <v/>
      </c>
      <c r="L43" s="10" t="str">
        <f t="shared" si="41"/>
        <v/>
      </c>
      <c r="M43" s="10" t="str">
        <f t="shared" si="41"/>
        <v/>
      </c>
      <c r="N43" s="10" t="str">
        <f t="shared" si="41"/>
        <v/>
      </c>
      <c r="O43" s="10" t="str">
        <f t="shared" si="41"/>
        <v/>
      </c>
      <c r="P43" s="10" t="str">
        <f t="shared" si="41"/>
        <v/>
      </c>
      <c r="Q43" s="10" t="str">
        <f t="shared" si="41"/>
        <v/>
      </c>
      <c r="R43" s="10" t="str">
        <f t="shared" si="41"/>
        <v/>
      </c>
      <c r="S43" s="10" t="str">
        <f t="shared" si="41"/>
        <v/>
      </c>
      <c r="T43" s="10" t="str">
        <f t="shared" si="41"/>
        <v/>
      </c>
      <c r="U43" s="10" t="str">
        <f t="shared" si="41"/>
        <v/>
      </c>
      <c r="V43" s="10" t="str">
        <f t="shared" si="41"/>
        <v/>
      </c>
      <c r="W43" s="10" t="str">
        <f t="shared" si="41"/>
        <v/>
      </c>
      <c r="X43" s="10" t="str">
        <f t="shared" si="41"/>
        <v/>
      </c>
      <c r="Y43" s="10" t="str">
        <f t="shared" si="41"/>
        <v/>
      </c>
      <c r="Z43" s="10" t="str">
        <f t="shared" si="41"/>
        <v/>
      </c>
      <c r="AA43" s="10" t="str">
        <f t="shared" si="41"/>
        <v/>
      </c>
      <c r="AB43" s="10" t="str">
        <f t="shared" si="41"/>
        <v/>
      </c>
      <c r="AC43" s="10" t="str">
        <f t="shared" si="41"/>
        <v>■</v>
      </c>
      <c r="AD43" s="10" t="str">
        <f t="shared" si="41"/>
        <v>■</v>
      </c>
    </row>
    <row r="44" ht="15.0" customHeight="1">
      <c r="A44" s="19" t="s">
        <v>63</v>
      </c>
      <c r="B44" s="6" t="s">
        <v>68</v>
      </c>
      <c r="C44" s="6" t="s">
        <v>52</v>
      </c>
      <c r="D44" s="7">
        <v>46204.0</v>
      </c>
      <c r="E44" s="7">
        <v>46210.0</v>
      </c>
      <c r="F44" s="8">
        <f t="shared" si="2"/>
        <v>7</v>
      </c>
      <c r="G44" s="18">
        <v>0.95</v>
      </c>
      <c r="H44" s="8" t="str">
        <f t="shared" si="3"/>
        <v>En curso</v>
      </c>
      <c r="I44" s="10" t="str">
        <f t="shared" ref="I44:AD44" si="42">IF(AND(I$4&lt;=$E44,I$4+6&gt;=$D44),"■","")</f>
        <v/>
      </c>
      <c r="J44" s="10" t="str">
        <f t="shared" si="42"/>
        <v/>
      </c>
      <c r="K44" s="10" t="str">
        <f t="shared" si="42"/>
        <v/>
      </c>
      <c r="L44" s="10" t="str">
        <f t="shared" si="42"/>
        <v/>
      </c>
      <c r="M44" s="10" t="str">
        <f t="shared" si="42"/>
        <v/>
      </c>
      <c r="N44" s="10" t="str">
        <f t="shared" si="42"/>
        <v/>
      </c>
      <c r="O44" s="10" t="str">
        <f t="shared" si="42"/>
        <v/>
      </c>
      <c r="P44" s="10" t="str">
        <f t="shared" si="42"/>
        <v/>
      </c>
      <c r="Q44" s="10" t="str">
        <f t="shared" si="42"/>
        <v/>
      </c>
      <c r="R44" s="10" t="str">
        <f t="shared" si="42"/>
        <v/>
      </c>
      <c r="S44" s="10" t="str">
        <f t="shared" si="42"/>
        <v/>
      </c>
      <c r="T44" s="10" t="str">
        <f t="shared" si="42"/>
        <v/>
      </c>
      <c r="U44" s="10" t="str">
        <f t="shared" si="42"/>
        <v/>
      </c>
      <c r="V44" s="10" t="str">
        <f t="shared" si="42"/>
        <v/>
      </c>
      <c r="W44" s="10" t="str">
        <f t="shared" si="42"/>
        <v/>
      </c>
      <c r="X44" s="10" t="str">
        <f t="shared" si="42"/>
        <v/>
      </c>
      <c r="Y44" s="10" t="str">
        <f t="shared" si="42"/>
        <v/>
      </c>
      <c r="Z44" s="10" t="str">
        <f t="shared" si="42"/>
        <v/>
      </c>
      <c r="AA44" s="10" t="str">
        <f t="shared" si="42"/>
        <v/>
      </c>
      <c r="AB44" s="10" t="str">
        <f t="shared" si="42"/>
        <v/>
      </c>
      <c r="AC44" s="10" t="str">
        <f t="shared" si="42"/>
        <v>■</v>
      </c>
      <c r="AD44" s="10" t="str">
        <f t="shared" si="42"/>
        <v>■</v>
      </c>
    </row>
    <row r="45" ht="15.0" customHeight="1">
      <c r="A45" s="20" t="s">
        <v>69</v>
      </c>
      <c r="B45" s="21"/>
      <c r="C45" s="21"/>
      <c r="D45" s="21"/>
      <c r="E45" s="21"/>
      <c r="F45" s="22"/>
      <c r="G45" s="23">
        <f>AVERAGE(G5:G44)</f>
        <v>0.9975</v>
      </c>
      <c r="H45" s="24" t="str">
        <f>IF(G45=100%,"Cerrado","En ejecución")</f>
        <v>En ejecución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D1"/>
    <mergeCell ref="A2:AD2"/>
    <mergeCell ref="A45:F45"/>
  </mergeCells>
  <conditionalFormatting sqref="I5:AD44">
    <cfRule type="expression" dxfId="0" priority="1">
      <formula>I5="■"</formula>
    </cfRule>
  </conditionalFormatting>
  <conditionalFormatting sqref="H5:H45">
    <cfRule type="expression" dxfId="1" priority="2">
      <formula>H5="Completada"</formula>
    </cfRule>
  </conditionalFormatting>
  <conditionalFormatting sqref="H5:H45">
    <cfRule type="expression" dxfId="2" priority="3">
      <formula>H5="En curso"</formula>
    </cfRule>
  </conditionalFormatting>
  <printOptions/>
  <pageMargins bottom="0.75" footer="0.0" header="0.0" left="0.7" right="0.7" top="0.75"/>
  <pageSetup orientation="landscape"/>
  <drawing r:id="rId1"/>
</worksheet>
</file>